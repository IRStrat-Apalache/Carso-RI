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INVE-002\Documents\"/>
    </mc:Choice>
  </mc:AlternateContent>
  <xr:revisionPtr revIDLastSave="0" documentId="8_{D3B187AF-F584-4602-98D9-81257E533EF1}" xr6:coauthVersionLast="47" xr6:coauthVersionMax="47" xr10:uidLastSave="{00000000-0000-0000-0000-000000000000}"/>
  <bookViews>
    <workbookView xWindow="-120" yWindow="-120" windowWidth="20730" windowHeight="11040" tabRatio="794" firstSheet="1" activeTab="1" xr2:uid="{216D8D88-7C0D-4B6D-BD3E-1CBDDEE5E249}"/>
  </bookViews>
  <sheets>
    <sheet name="__FDSCACHE__" sheetId="12" state="veryHidden" r:id="rId1"/>
    <sheet name="Indice" sheetId="1" r:id="rId2"/>
    <sheet name="Disclaimer" sheetId="48" r:id="rId3"/>
    <sheet name="Lista de Propiedades" sheetId="44" r:id="rId4"/>
    <sheet name="Distribuciones" sheetId="46" r:id="rId5"/>
    <sheet name="Estado de Resultados" sheetId="43" r:id="rId6"/>
    <sheet name="Balance General" sheetId="42" r:id="rId7"/>
    <sheet name="Flujo de Efectivo" sheetId="45" r:id="rId8"/>
  </sheets>
  <definedNames>
    <definedName name="_bdm.0b6837279f014990862a579871d0b393.edm" hidden="1">#REF!</definedName>
    <definedName name="_xlnm.Print_Area" localSheetId="6">'Balance General'!$B$2:$AP$51</definedName>
    <definedName name="_xlnm.Print_Area" localSheetId="2">Disclaimer!$B$2:$M$23</definedName>
    <definedName name="_xlnm.Print_Area" localSheetId="4">Distribuciones!$B$2:$L$48</definedName>
    <definedName name="_xlnm.Print_Area" localSheetId="5">'Estado de Resultados'!$B$2:$AO$82</definedName>
    <definedName name="_xlnm.Print_Area" localSheetId="7">'Flujo de Efectivo'!$B$2:$AP$53</definedName>
    <definedName name="_xlnm.Print_Area" localSheetId="1">Indice!$B$2:$V$52</definedName>
    <definedName name="_xlnm.Print_Area" localSheetId="3">'Lista de Propiedades'!$B$2:$M$43</definedName>
    <definedName name="DA_2012719279800003653" hidden="1">#REF!</definedName>
    <definedName name="DA_2012719279800003655" hidden="1">#REF!</definedName>
    <definedName name="DA_2012719279800003658" hidden="1">#REF!</definedName>
    <definedName name="DA_2012719279800003661" hidden="1">#REF!</definedName>
    <definedName name="DA_2012719279800003663" hidden="1">#REF!</definedName>
    <definedName name="DA_2012719279800003666" hidden="1">#REF!</definedName>
    <definedName name="DA_2012719279800003669" hidden="1">#REF!</definedName>
    <definedName name="DA_2012719279800003671" hidden="1">#REF!</definedName>
    <definedName name="DA_2012719279800003673" hidden="1">#REF!</definedName>
    <definedName name="DA_2012719279800003676" hidden="1">#REF!</definedName>
    <definedName name="DA_2012719279800003679" hidden="1">#REF!</definedName>
    <definedName name="DA_2012719279800003682" hidden="1">#REF!</definedName>
    <definedName name="DA_2012719279800003691" hidden="1">#REF!</definedName>
    <definedName name="DA_2012719279800003954" hidden="1">#REF!</definedName>
    <definedName name="DA_2012719279800003959" hidden="1">#REF!</definedName>
    <definedName name="DA_2012719279800003982" hidden="1">#REF!</definedName>
    <definedName name="DA_2012719279800004161" hidden="1">#REF!</definedName>
    <definedName name="DA_2012719279800004208" hidden="1">#REF!</definedName>
    <definedName name="DA_2012719279800004210" hidden="1">#REF!</definedName>
    <definedName name="DA_2012719279800004222" hidden="1">#REF!</definedName>
    <definedName name="DA_2012719279800004229" hidden="1">#REF!</definedName>
    <definedName name="DA_2012719279800004231" hidden="1">#REF!</definedName>
    <definedName name="DA_2012719279800004233" hidden="1">#REF!</definedName>
    <definedName name="DA_2012719279800004239" hidden="1">#REF!</definedName>
    <definedName name="DA_2012719279800004241" hidden="1">#REF!</definedName>
    <definedName name="DA_2012719279800004243" hidden="1">#REF!</definedName>
    <definedName name="DA_2012719279800004245" hidden="1">#REF!</definedName>
    <definedName name="DA_2012719279800004249" hidden="1">#REF!</definedName>
    <definedName name="DA_2012719279800004355" hidden="1">#REF!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ista">#REF!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80" i="43" l="1"/>
  <c r="AL80" i="43"/>
  <c r="AK80" i="43"/>
  <c r="AJ80" i="43"/>
  <c r="AI80" i="43"/>
  <c r="AH80" i="43"/>
  <c r="AG80" i="43"/>
  <c r="AF80" i="43"/>
  <c r="AE80" i="43"/>
  <c r="AD80" i="43"/>
  <c r="AC80" i="43"/>
  <c r="AB80" i="43"/>
  <c r="AA80" i="43"/>
  <c r="Z80" i="43"/>
  <c r="Y80" i="43"/>
  <c r="X80" i="43"/>
  <c r="W80" i="43"/>
  <c r="V80" i="43"/>
  <c r="U80" i="43"/>
  <c r="T80" i="43"/>
  <c r="S80" i="43"/>
  <c r="R80" i="43"/>
  <c r="Q80" i="43"/>
  <c r="P80" i="43"/>
  <c r="O80" i="43"/>
  <c r="N80" i="43"/>
  <c r="M80" i="43"/>
  <c r="L80" i="43"/>
  <c r="K80" i="43"/>
  <c r="J80" i="43"/>
  <c r="I80" i="43"/>
  <c r="H80" i="43"/>
  <c r="G80" i="43"/>
  <c r="F80" i="43"/>
  <c r="E80" i="43"/>
  <c r="F17" i="43"/>
  <c r="F41" i="44" l="1"/>
  <c r="C7" i="44"/>
  <c r="C8" i="44" s="1"/>
  <c r="C9" i="44" s="1"/>
  <c r="C10" i="44" s="1"/>
  <c r="C11" i="44" s="1"/>
  <c r="C12" i="44" s="1"/>
  <c r="C13" i="44" s="1"/>
  <c r="C14" i="44" s="1"/>
  <c r="C15" i="44" s="1"/>
  <c r="C16" i="44" s="1"/>
  <c r="C17" i="44" s="1"/>
  <c r="C18" i="44" s="1"/>
  <c r="C19" i="44" s="1"/>
  <c r="C20" i="44" s="1"/>
  <c r="C21" i="44" s="1"/>
  <c r="C22" i="44" s="1"/>
  <c r="C23" i="44" s="1"/>
  <c r="C24" i="44" s="1"/>
  <c r="C25" i="44" s="1"/>
  <c r="C26" i="44" s="1"/>
  <c r="C27" i="44" s="1"/>
  <c r="C28" i="44" s="1"/>
  <c r="C29" i="44" s="1"/>
  <c r="C30" i="44" s="1"/>
  <c r="C31" i="44" s="1"/>
  <c r="C32" i="44" s="1"/>
  <c r="C33" i="44" s="1"/>
  <c r="C34" i="44" s="1"/>
  <c r="C35" i="44" s="1"/>
  <c r="C36" i="44" s="1"/>
  <c r="C37" i="44" s="1"/>
  <c r="C38" i="44" s="1"/>
  <c r="C39" i="44" s="1"/>
  <c r="K36" i="44"/>
  <c r="K35" i="44"/>
  <c r="P51" i="43" l="1"/>
  <c r="O51" i="43"/>
  <c r="N51" i="43"/>
  <c r="K51" i="43"/>
  <c r="J51" i="43"/>
  <c r="I51" i="43"/>
  <c r="K41" i="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Moon, Shinwon [ICG-BCMA]</author>
  </authors>
  <commentList>
    <comment ref="A1" authorId="0" shapeId="0" xr:uid="{BFEF94AB-78BC-42C4-BC29-040F9713193F}">
      <text>
        <r>
          <rPr>
            <b/>
            <sz val="9"/>
            <color indexed="81"/>
            <rFont val="Tahoma"/>
            <family val="2"/>
          </rPr>
          <t>&lt;?xml version="1.0" encoding="utf-8"?&gt;&lt;Schema xmlns:xsd="http://www.w3.org/2001/XMLSchema" xmlns:xsi="http://www.w3.org/2001/XMLSchema-instance" Version="2" Timestamp="1746210839"&gt;&lt;FQL&gt;&lt;Q&gt;EDUCA18-MX^FG_PRICE(45779)&lt;/Q&gt;&lt;R&gt;1&lt;/R&gt;&lt;C&gt;1&lt;/C&gt;&lt;D xsi:type="xsd:double"&gt;53&lt;/D&gt;&lt;/FQL&gt;&lt;/Schema&gt;</t>
        </r>
      </text>
    </comment>
  </commentList>
</comments>
</file>

<file path=xl/sharedStrings.xml><?xml version="1.0" encoding="utf-8"?>
<sst xmlns="http://schemas.openxmlformats.org/spreadsheetml/2006/main" count="540" uniqueCount="302">
  <si>
    <t>X</t>
  </si>
  <si>
    <t>This sheet contains FactSet XML data for use with this workbook's =FDS codes.  Modifying the worksheet's contents may damage the workbook's =FDS functionality.</t>
  </si>
  <si>
    <t>Activo</t>
  </si>
  <si>
    <t>ACTIVO CIRCULANTE:</t>
  </si>
  <si>
    <t>Efectivo y equivalentes de efectivo</t>
  </si>
  <si>
    <t>Cuentas por cobrar a partes relacionadas</t>
  </si>
  <si>
    <t>Pagos Anticipados</t>
  </si>
  <si>
    <t>Impuestos al valor agregado por recuperar</t>
  </si>
  <si>
    <t>Otros activos circulantes no financieros</t>
  </si>
  <si>
    <t>Total del activo circulante</t>
  </si>
  <si>
    <t>ACTIVO NO CIRCULANTE:</t>
  </si>
  <si>
    <t>Propiedades de Inversión</t>
  </si>
  <si>
    <t>Depósito de seriedad</t>
  </si>
  <si>
    <t>Derechos de arrendamiento</t>
  </si>
  <si>
    <t>Otros activos no financieros</t>
  </si>
  <si>
    <t>Total del activo no circulante</t>
  </si>
  <si>
    <t>Total del Activo</t>
  </si>
  <si>
    <t>Pasivo y Patrimonio Contable</t>
  </si>
  <si>
    <t>PASIVO CIRCULANTE:</t>
  </si>
  <si>
    <t>Proveedores y otras cuentas por pagar</t>
  </si>
  <si>
    <t>Intereses por pagar</t>
  </si>
  <si>
    <t>Otros impuestos retenidos por pagar</t>
  </si>
  <si>
    <t>Impuesto al valor agregado por pagar</t>
  </si>
  <si>
    <t>Obligaciones por arrendamiento</t>
  </si>
  <si>
    <t>Total del pasivo circulante</t>
  </si>
  <si>
    <t>PASIVO NO CIRCULANTE:</t>
  </si>
  <si>
    <t>Deuda financiera - Neta</t>
  </si>
  <si>
    <t>Beneficios a los empleados</t>
  </si>
  <si>
    <t>Total del pasivo no circulante</t>
  </si>
  <si>
    <t>Total del pasivo</t>
  </si>
  <si>
    <t>PATRIMONIO CONTABLE:</t>
  </si>
  <si>
    <t>Patrimonio contribuido - Neto</t>
  </si>
  <si>
    <t>Gastos de emisión</t>
  </si>
  <si>
    <t>Utilidades acumuladas</t>
  </si>
  <si>
    <t xml:space="preserve">Total Patrimonio </t>
  </si>
  <si>
    <t>Total del Pasivo y Patrimonio Contable</t>
  </si>
  <si>
    <t>Ingresos por arrendamiento</t>
  </si>
  <si>
    <t>Costos de Operación y Mantenimiento</t>
  </si>
  <si>
    <t>Gastos de Administración</t>
  </si>
  <si>
    <t>Total de gastos</t>
  </si>
  <si>
    <t>Subtotal</t>
  </si>
  <si>
    <t>Gastos para la Estrategía de Sostenibilidad</t>
  </si>
  <si>
    <t>Utilidad de operación</t>
  </si>
  <si>
    <t>Resultado de Financiamiento:</t>
  </si>
  <si>
    <t>Intereses a favor</t>
  </si>
  <si>
    <t>Intereses a cargo</t>
  </si>
  <si>
    <t>Amortización del costo de financiamiento</t>
  </si>
  <si>
    <t>Total Resultado de Financiamiento</t>
  </si>
  <si>
    <t>Utilidad Neta del año</t>
  </si>
  <si>
    <t>Otros resultados integrales</t>
  </si>
  <si>
    <t>Utilidad Integral - Neta del año</t>
  </si>
  <si>
    <t>Utilidad básica por CBFI</t>
  </si>
  <si>
    <t>Utilidad diluida por CBFI</t>
  </si>
  <si>
    <t>x</t>
  </si>
  <si>
    <t>No. Inmuebles</t>
  </si>
  <si>
    <t>Estado</t>
  </si>
  <si>
    <t>ABR
(m2)</t>
  </si>
  <si>
    <t>OPI (Oficinas)</t>
  </si>
  <si>
    <t>ICEL Pachuca</t>
  </si>
  <si>
    <t>UNIVER Querétaro</t>
  </si>
  <si>
    <t>UNE Querétaro</t>
  </si>
  <si>
    <t>UNE Tula</t>
  </si>
  <si>
    <t>UNE Allende</t>
  </si>
  <si>
    <t>UNE Huichapan</t>
  </si>
  <si>
    <t>ICEL Ecatepec Olímpica</t>
  </si>
  <si>
    <t>Universidad Potosina</t>
  </si>
  <si>
    <t>Universidad Vasconcelos</t>
  </si>
  <si>
    <t>UNIDEP Torreón</t>
  </si>
  <si>
    <t>UNIDEP Tijuana</t>
  </si>
  <si>
    <t>UNIDEP Hermosillo</t>
  </si>
  <si>
    <t>UNIDEP Culiacán</t>
  </si>
  <si>
    <t>UNIVER Tlaquepaque</t>
  </si>
  <si>
    <t>UNIDEP Veracruz</t>
  </si>
  <si>
    <t>Universidad del Valle de Toluca</t>
  </si>
  <si>
    <t>Colegio Indoamericano</t>
  </si>
  <si>
    <t>UANE Matamoros</t>
  </si>
  <si>
    <t>UANE Saltillo</t>
  </si>
  <si>
    <t>UANE Torreón</t>
  </si>
  <si>
    <t>Oficinas</t>
  </si>
  <si>
    <t>Quick Learning</t>
  </si>
  <si>
    <t>Propiedades</t>
  </si>
  <si>
    <t>Varios</t>
  </si>
  <si>
    <t>27 de junio 2018</t>
  </si>
  <si>
    <t>14 de marzo 2019</t>
  </si>
  <si>
    <t>22 de abril 2019</t>
  </si>
  <si>
    <t>3 de Mayo 2019</t>
  </si>
  <si>
    <t>28 de junio 2019</t>
  </si>
  <si>
    <t>4 de noviembre 2019</t>
  </si>
  <si>
    <t>3 de diciembre 2019</t>
  </si>
  <si>
    <t>18 de diciembre 2019</t>
  </si>
  <si>
    <t>3 de febrero 2022</t>
  </si>
  <si>
    <t>8 de febrero 2022</t>
  </si>
  <si>
    <t>10 de febrero 2022</t>
  </si>
  <si>
    <t>23 de junio 2022</t>
  </si>
  <si>
    <t>16 de agosto 2022</t>
  </si>
  <si>
    <t>Coahuila</t>
  </si>
  <si>
    <t>Total</t>
  </si>
  <si>
    <t>Querétaro</t>
  </si>
  <si>
    <t>Tipo de 
Inmueble</t>
  </si>
  <si>
    <t>CDMX</t>
  </si>
  <si>
    <t>Hidalgo</t>
  </si>
  <si>
    <t>Reconciliación NOI</t>
  </si>
  <si>
    <t>Reconciliación FFO / AFFO</t>
  </si>
  <si>
    <t>FFO</t>
  </si>
  <si>
    <t>AFFO</t>
  </si>
  <si>
    <t>Equipo de cómputo - Neto</t>
  </si>
  <si>
    <t>Ganancia por ajuste en el valor razonable de las Propiedades de Inversión - Neto</t>
  </si>
  <si>
    <t>Lista de Propiedades</t>
  </si>
  <si>
    <t>Estado de Resultados</t>
  </si>
  <si>
    <t>Balance General</t>
  </si>
  <si>
    <t>Flujo de Efectivo</t>
  </si>
  <si>
    <t>Reconciliación FFO/AFFO</t>
  </si>
  <si>
    <t>Regreso al índice</t>
  </si>
  <si>
    <t>1T18</t>
  </si>
  <si>
    <t>2T18</t>
  </si>
  <si>
    <t>3T18</t>
  </si>
  <si>
    <t>4T18</t>
  </si>
  <si>
    <t>1T19</t>
  </si>
  <si>
    <t>2T19</t>
  </si>
  <si>
    <t>3T19</t>
  </si>
  <si>
    <t>4T19</t>
  </si>
  <si>
    <t>1T20</t>
  </si>
  <si>
    <t>2T20</t>
  </si>
  <si>
    <t>3T20</t>
  </si>
  <si>
    <t>4T20</t>
  </si>
  <si>
    <t>1T21</t>
  </si>
  <si>
    <t>2T21</t>
  </si>
  <si>
    <t>3T21</t>
  </si>
  <si>
    <t>4T21</t>
  </si>
  <si>
    <t>1T22</t>
  </si>
  <si>
    <t>2T22</t>
  </si>
  <si>
    <t>3T22</t>
  </si>
  <si>
    <t>4T22</t>
  </si>
  <si>
    <t>1T23</t>
  </si>
  <si>
    <t>2T23</t>
  </si>
  <si>
    <t>3T23</t>
  </si>
  <si>
    <t>4T23</t>
  </si>
  <si>
    <t>1T24</t>
  </si>
  <si>
    <t>2T24</t>
  </si>
  <si>
    <t>3T24</t>
  </si>
  <si>
    <t>4T24</t>
  </si>
  <si>
    <t>1T25</t>
  </si>
  <si>
    <t>Cuentas por pagar a Partes Relacionadas</t>
  </si>
  <si>
    <t>Estado de Resultados (miles de pesos)</t>
  </si>
  <si>
    <t>Utilidad Integral - Neta del Periodo</t>
  </si>
  <si>
    <t>Amortización del Costo de Financiamiento</t>
  </si>
  <si>
    <t>Revaluación de la deuda financiera</t>
  </si>
  <si>
    <t>Gastos para la estrategia de Sostenibilidad</t>
  </si>
  <si>
    <t>Reparto de Excedente de Efectivo</t>
  </si>
  <si>
    <t>Reserva de Capex</t>
  </si>
  <si>
    <t>Reserva para instalación de paneles fotovoltaicos</t>
  </si>
  <si>
    <t>Ingresos - Netos</t>
  </si>
  <si>
    <t>(Pérdida) Ingresos de operación</t>
  </si>
  <si>
    <t>Ajuste por revaluación - Propiedades de inversión</t>
  </si>
  <si>
    <t>Gastos para la Estrategia de Sostenibilidad</t>
  </si>
  <si>
    <t>Otras partidas que no requieren flujos de efectivo operativos</t>
  </si>
  <si>
    <t>Depreciación y Amortización</t>
  </si>
  <si>
    <t>Centros de Aprendizaje</t>
  </si>
  <si>
    <t>Planteles Universitarios</t>
  </si>
  <si>
    <t>27 de junio 2033</t>
  </si>
  <si>
    <t>Fecha de Vencimiento</t>
  </si>
  <si>
    <t>Fecha de 
Inicio</t>
  </si>
  <si>
    <t>Universidad de Santa Fe</t>
  </si>
  <si>
    <t>Universidad Victoria  Viaducto</t>
  </si>
  <si>
    <t>Universidad Victoria Ecatepec</t>
  </si>
  <si>
    <t>Universidad Victoria Zaragoza</t>
  </si>
  <si>
    <t>Universidad Victoria Corregidora</t>
  </si>
  <si>
    <t>Estado de México</t>
  </si>
  <si>
    <t>Universidad LAMAR Tepatitlán</t>
  </si>
  <si>
    <t>Jalisco</t>
  </si>
  <si>
    <t>Instituto Patria Mérida</t>
  </si>
  <si>
    <t>Yucatán</t>
  </si>
  <si>
    <t>Guanajuato</t>
  </si>
  <si>
    <t>UNIVER Pino Suárez</t>
  </si>
  <si>
    <t>UNIDEP Ciudad Mante</t>
  </si>
  <si>
    <t>Tamaulipas</t>
  </si>
  <si>
    <t>3 de Mayo 2034</t>
  </si>
  <si>
    <t>14 de marzo 2034</t>
  </si>
  <si>
    <t>Universidad Americana de Acapulco</t>
  </si>
  <si>
    <t>Guerrero</t>
  </si>
  <si>
    <t>28 de junio 2034</t>
  </si>
  <si>
    <t>4 de noviembre 2034</t>
  </si>
  <si>
    <t>San Luis Potosí</t>
  </si>
  <si>
    <t>3 de diciembre 2034</t>
  </si>
  <si>
    <t>22 de abril 2034</t>
  </si>
  <si>
    <t xml:space="preserve">Universidad Lucerna </t>
  </si>
  <si>
    <t>18 de diciembre 2034</t>
  </si>
  <si>
    <t>Baja California</t>
  </si>
  <si>
    <t>Sonora</t>
  </si>
  <si>
    <t>Sinaloa</t>
  </si>
  <si>
    <t>3 de febrero 2037</t>
  </si>
  <si>
    <t>8 de febrero 2037</t>
  </si>
  <si>
    <t>10 de febrero 2037</t>
  </si>
  <si>
    <t>Aguascalientes</t>
  </si>
  <si>
    <t>Veracruz</t>
  </si>
  <si>
    <t>23 de junio 2037</t>
  </si>
  <si>
    <t>16 de agosto 2037</t>
  </si>
  <si>
    <t>07 de agosto 2024</t>
  </si>
  <si>
    <t>09 de mayo 2024</t>
  </si>
  <si>
    <t>21 de noviembre 2023</t>
  </si>
  <si>
    <t>21 de noviembre 2038</t>
  </si>
  <si>
    <t>09 de mayo 2039</t>
  </si>
  <si>
    <t>06 de agosto 2039</t>
  </si>
  <si>
    <t>Universidad Latinoamericana</t>
  </si>
  <si>
    <t>Región</t>
  </si>
  <si>
    <t>Centro</t>
  </si>
  <si>
    <t>Occidente</t>
  </si>
  <si>
    <t>Sur</t>
  </si>
  <si>
    <t>Norte</t>
  </si>
  <si>
    <r>
      <t>Promedio ponderado de CBFIs en circulación</t>
    </r>
    <r>
      <rPr>
        <vertAlign val="superscript"/>
        <sz val="12"/>
        <color rgb="FF23356B"/>
        <rFont val="Poppins"/>
      </rPr>
      <t>1</t>
    </r>
  </si>
  <si>
    <t>1. Este promedio se determinó tomando como base los CBFIs en circulación durante cada año</t>
  </si>
  <si>
    <t>2. 11,124 CBFIs fueron puestos en circulación antes de la fecha de emisión de los Estados Financieros Consolidados correspondientes al año que terminó el 31 de diciembre de 2024</t>
  </si>
  <si>
    <t>3. 56,662 CBFIs fueron puestos en circulación antes de la fecha de emisión de los Estados Financieros Consolidados correspondientes al año que terminó el 31 de diciembre de 2023</t>
  </si>
  <si>
    <t>4. 27,644 CBFIs fueron puestos en circulación antes de la fecha de emisión de los Estados Financieros Consolidados correspondientes al año que terminó el 31 de diciembre de 2022</t>
  </si>
  <si>
    <t>5. 22,862 CBFIs fueron puestos en circulación antes de la fecha de emisión de los Estados Financieros Consolidados correspondientes al año que terminó el 31 de diciembre de 2021</t>
  </si>
  <si>
    <t>6. 37,539 CBFIs fueron puestos en circulación antes de la fecha de emisión de los Estados Financieros Consolidados correspondientes al año que terminó el 31 de diciembre de 2020</t>
  </si>
  <si>
    <t>7. 11,923 CBFIs fueron puestos en circulación antes de la fecha de emisión de los Estados Financieros Consolidados correspondientes al año que terminó el 31 de diciembre de 2019</t>
  </si>
  <si>
    <r>
      <t>Promedio ponderado de CBFIs en circulación con efectos de dilución</t>
    </r>
    <r>
      <rPr>
        <vertAlign val="superscript"/>
        <sz val="12"/>
        <color rgb="FF23356B"/>
        <rFont val="Poppins"/>
      </rPr>
      <t>2,3,4,5,6,7</t>
    </r>
  </si>
  <si>
    <t>Notas:</t>
  </si>
  <si>
    <t>Ganancia por ajuste en el valor razonable de Propiedades de inversión – Neto</t>
  </si>
  <si>
    <t>Otros (gastos) financieros - Neto (principalmente revaluación de la deuda financiera)</t>
  </si>
  <si>
    <t>NOI / EBITDA</t>
  </si>
  <si>
    <t>Margen NOI / EBITDA %</t>
  </si>
  <si>
    <t>AFFO por CBFI</t>
  </si>
  <si>
    <t>Distribuciones</t>
  </si>
  <si>
    <t>(Pesos)</t>
  </si>
  <si>
    <t>Primer Trimestre</t>
  </si>
  <si>
    <t>Segundo Trimestre</t>
  </si>
  <si>
    <t>Tercer Trimestre</t>
  </si>
  <si>
    <t>Cuarto Trimestre</t>
  </si>
  <si>
    <t xml:space="preserve">Cuarto Trimestre </t>
  </si>
  <si>
    <t>Distribución Por CBFI</t>
  </si>
  <si>
    <t>Fecha de Liquidación</t>
  </si>
  <si>
    <t>Monto de la Distribución</t>
  </si>
  <si>
    <t>26 de noviembre 2018</t>
  </si>
  <si>
    <t>25 de febrero 2019</t>
  </si>
  <si>
    <t>21 de febrero 2020</t>
  </si>
  <si>
    <t>20 de mayo 2019</t>
  </si>
  <si>
    <t>20 de agosto 2019</t>
  </si>
  <si>
    <t>26 de noviembre 2019</t>
  </si>
  <si>
    <t>4 de marzo 2021</t>
  </si>
  <si>
    <t>4 de noviembre 2020</t>
  </si>
  <si>
    <t>7 de agosto 2020</t>
  </si>
  <si>
    <t>28 de abril 2020</t>
  </si>
  <si>
    <t>9 de noviembre 2021</t>
  </si>
  <si>
    <t>5 de agosto 2021</t>
  </si>
  <si>
    <t>13 de mayo 2021</t>
  </si>
  <si>
    <t>8 de marzo 2022</t>
  </si>
  <si>
    <t>8 de marzo 2023</t>
  </si>
  <si>
    <t>9 de noviembre 2022</t>
  </si>
  <si>
    <t>2 de agosto 2022</t>
  </si>
  <si>
    <t>13 de mayo 2022</t>
  </si>
  <si>
    <t>15 de mayo 2023</t>
  </si>
  <si>
    <t>24 de agosto 2023</t>
  </si>
  <si>
    <t>24 de noviembre 2023</t>
  </si>
  <si>
    <t>7 de marzo 2024</t>
  </si>
  <si>
    <t>15 de marzo 2025</t>
  </si>
  <si>
    <t>25 de noviembre 2024</t>
  </si>
  <si>
    <t>26 de agosto 2024</t>
  </si>
  <si>
    <t>24 de mayo 2024</t>
  </si>
  <si>
    <r>
      <t>Tercer Trimestre</t>
    </r>
    <r>
      <rPr>
        <vertAlign val="superscript"/>
        <sz val="11"/>
        <color rgb="FF53565A"/>
        <rFont val="Poppins"/>
      </rPr>
      <t>1</t>
    </r>
  </si>
  <si>
    <t>1. Incluye las distribuciones correspondientes al periodo del 27 al 30 de junio de 2018, conforme a lo establecido en la resolución del comité técnico.</t>
  </si>
  <si>
    <t>(Miles de pesos)</t>
  </si>
  <si>
    <t>Balance General (miles de pesos)</t>
  </si>
  <si>
    <t>CBFIs en circulación a la fecha de liquidación</t>
  </si>
  <si>
    <t>Tasa de Ocupación</t>
  </si>
  <si>
    <t>Flujo de Efectivo (miles de pesos)</t>
  </si>
  <si>
    <t>Flujo de efectivo de actividades de operación</t>
  </si>
  <si>
    <t>Utilidad neta</t>
  </si>
  <si>
    <t>Ajustes por:</t>
  </si>
  <si>
    <t>Intereses ganados</t>
  </si>
  <si>
    <t>Pago en CBFIs a los miembros de los comités e incentivos a ejecutivos</t>
  </si>
  <si>
    <t>Depreciación y amortización (principalment derechos de arrendamiento)</t>
  </si>
  <si>
    <t>Ganancia por ajuste en el valor razonable de las propiedades de inversión</t>
  </si>
  <si>
    <t>(Aumento) disminución en:</t>
  </si>
  <si>
    <t>Clientes - partes relacionadas</t>
  </si>
  <si>
    <t>Impuesto al valor agregado por recuperar - neto</t>
  </si>
  <si>
    <t>Disminución aumento en:</t>
  </si>
  <si>
    <t>Proveedores y otas cuentas por pagar</t>
  </si>
  <si>
    <t>Cuentas por pagar a partes relacionadas</t>
  </si>
  <si>
    <t>Flujos netos de efectivo generados en actividades de operación</t>
  </si>
  <si>
    <t>Flujo de efectivo de actividades de financiamiento</t>
  </si>
  <si>
    <t>Flujo de efectivo de actividades de inversión</t>
  </si>
  <si>
    <t>Adquisición de propiedades de inversión</t>
  </si>
  <si>
    <t>Trabajos de remodelación a las propiedades de inversión y anticipo a proveedores</t>
  </si>
  <si>
    <t>Flujos netos de efectivo (utilizados) generados en actividades de inversión</t>
  </si>
  <si>
    <r>
      <t xml:space="preserve">Aviso legal relativo a la información financiera histórica de FIBRA EDUCA
</t>
    </r>
    <r>
      <rPr>
        <sz val="11"/>
        <color rgb="FF53565A"/>
        <rFont val="Poppins"/>
      </rPr>
      <t xml:space="preserve">
El presente archivo contiene información financiera histórica de FIBRA EDUCA, un fideicomiso de inversión en bienes raíces constituido conforme a las leyes de los Estados Unidos Mexicanos (“FIBRA EDUCA”), la cual se proporciona únicamente con fines informativos. La información incluida se presenta de forma resumida y no pretende ser exhaustiva ni definitiva.
FIBRA EDUCA no realiza ninguna declaración o garantía, expresa o implícita, sobre la exactitud, integridad o actualidad de la información contenida en este archivo. Toda la información está sujeta a verificación, corrección, modificación y actualización sin previo aviso.
Ni FIBRA EDUCA ni sus afiliadas, directores, funcionarios, empleados o representantes asumen obligación alguna de actualizar o complementar la información incluida, ni de corregir posibles inexactitudes que pudieran encontrarse en este documento.
Este archivo puede contener indicadores financieros no auditados y no regulados bajo las Normas Internacionales de Información Financiera (NIIF), como el Flujo de Operación Ajustado (AFFO) u otras métricas comúnmente utilizadas en el sector inmobiliario. Dichas métricas se presentan exclusivamente con fines ilustrativos y pueden no ser comparables con métricas similares utilizadas por otras entidades.
La información aquí contenida no debe ser considerada como recomendación de inversión ni como base suficiente para tomar decisiones financieras. Los resultados históricos no son indicativos ni garantía de resultados futuros.</t>
    </r>
  </si>
  <si>
    <t>Disposición de recursos de la deuda financiera</t>
  </si>
  <si>
    <t>Pago de comisiones y honorarios por disposición de recursos de la deuda financiera</t>
  </si>
  <si>
    <t>Intereses pagados de la deuda financiera</t>
  </si>
  <si>
    <t>Pago anticipado de la deuda financiera</t>
  </si>
  <si>
    <t>Distribución del resultado fiscal y reembolso de patrimonio</t>
  </si>
  <si>
    <t>Flujos netos de efectivo (utilizado) generado por actividades de financiamiento</t>
  </si>
  <si>
    <t>(Disminuación) aumento de efectivo y equivalentes de efectivo</t>
  </si>
  <si>
    <t>Efectivo y equivalentes de efectivo al inicio del año</t>
  </si>
  <si>
    <t>Efectivo y equivalentes de efectivo al final del año</t>
  </si>
  <si>
    <t>Recursos provenientes de la oferta pública inicial</t>
  </si>
  <si>
    <t>Costo relacionados a la oferta pública inicial</t>
  </si>
  <si>
    <t>Índice</t>
  </si>
  <si>
    <t>Área Bruta Rentable</t>
  </si>
  <si>
    <t>Área Bruta Rentable (m2)</t>
  </si>
  <si>
    <t>Tasa de Ocupación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</si>
</sst>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_(* #,##0.00_);_(* \(#,##0.00\);_(* &quot;-&quot;??_);_(@_)"/>
    <numFmt numFmtId="165" formatCode="&quot;$&quot;#,##0.00_%_);\(&quot;$&quot;#,##0.00\)_%;&quot;$&quot;#,##0.00_%_);@_%_)"/>
    <numFmt numFmtId="166" formatCode="#,##0;[Red]\(#,##0\)"/>
    <numFmt numFmtId="167" formatCode="#,##0_%_);\(#,##0\)_%;#,##0_%_);@_%_)"/>
    <numFmt numFmtId="168" formatCode="#,##0_%_);\(#,##0\)_%;&quot;--&quot;_%_);@_%_)"/>
    <numFmt numFmtId="169" formatCode="#,##0.000_%_);\(#,##0.000\)_%;#,##0.000_%_);@_%_)"/>
    <numFmt numFmtId="170" formatCode="#,##0.00\%_);\(#,##0.00\%\);#,##0.00\%_);@_%_)"/>
    <numFmt numFmtId="171" formatCode="[$-80A]d&quot; de &quot;mmmm&quot; de &quot;yyyy;@"/>
    <numFmt numFmtId="172" formatCode="0.000000"/>
    <numFmt numFmtId="173" formatCode="#,##0\%_);\(#,##0\%\);#,##0\%_);@_%_)"/>
  </numFmts>
  <fonts count="50">
    <font>
      <sz val="8"/>
      <color theme="1"/>
      <name val="Citi Sans Text"/>
      <family val="2"/>
      <scheme val="minor"/>
    </font>
    <font>
      <sz val="8"/>
      <color theme="1"/>
      <name val="Citi Sans Text"/>
      <family val="2"/>
      <scheme val="minor"/>
    </font>
    <font>
      <b/>
      <i/>
      <sz val="12"/>
      <color theme="1"/>
      <name val="Poppins"/>
    </font>
    <font>
      <u/>
      <sz val="8"/>
      <color theme="10"/>
      <name val="Citi Sans Text"/>
      <family val="2"/>
      <scheme val="minor"/>
    </font>
    <font>
      <sz val="8"/>
      <color rgb="FFFF0000"/>
      <name val="Poppins"/>
    </font>
    <font>
      <sz val="8"/>
      <color theme="1"/>
      <name val="Poppins"/>
    </font>
    <font>
      <b/>
      <sz val="8"/>
      <color rgb="FF97999B"/>
      <name val="Poppins"/>
    </font>
    <font>
      <b/>
      <sz val="8"/>
      <color theme="1"/>
      <name val="Poppins"/>
    </font>
    <font>
      <sz val="8"/>
      <color rgb="FF0000FF"/>
      <name val="Poppins"/>
    </font>
    <font>
      <sz val="8"/>
      <color rgb="FF008000"/>
      <name val="Poppins"/>
    </font>
    <font>
      <sz val="8"/>
      <color rgb="FFDC241F"/>
      <name val="Poppins"/>
    </font>
    <font>
      <sz val="11"/>
      <color theme="1"/>
      <name val="Citi Sans Text"/>
      <family val="2"/>
      <scheme val="minor"/>
    </font>
    <font>
      <sz val="10"/>
      <name val="Arial"/>
      <family val="2"/>
    </font>
    <font>
      <sz val="11"/>
      <color theme="1"/>
      <name val="Calibri"/>
      <family val="2"/>
    </font>
    <font>
      <sz val="8"/>
      <color rgb="FF000000"/>
      <name val="Poppins"/>
    </font>
    <font>
      <u/>
      <sz val="11"/>
      <color theme="10"/>
      <name val="Citi Sans Text"/>
      <family val="2"/>
      <scheme val="minor"/>
    </font>
    <font>
      <b/>
      <sz val="9"/>
      <color indexed="81"/>
      <name val="Tahoma"/>
      <family val="2"/>
    </font>
    <font>
      <sz val="11"/>
      <color theme="0"/>
      <name val="Poppins"/>
    </font>
    <font>
      <b/>
      <u/>
      <sz val="11"/>
      <color theme="1"/>
      <name val="Poppins"/>
    </font>
    <font>
      <sz val="11"/>
      <color theme="1"/>
      <name val="Poppins"/>
    </font>
    <font>
      <sz val="12"/>
      <color theme="1"/>
      <name val="Poppins"/>
    </font>
    <font>
      <b/>
      <sz val="11"/>
      <color theme="1"/>
      <name val="Poppins"/>
    </font>
    <font>
      <b/>
      <sz val="11"/>
      <color rgb="FF23356B"/>
      <name val="Poppins"/>
    </font>
    <font>
      <sz val="11"/>
      <color rgb="FF23356B"/>
      <name val="Poppins"/>
    </font>
    <font>
      <sz val="11"/>
      <color rgb="FF53565A"/>
      <name val="Poppins"/>
    </font>
    <font>
      <b/>
      <sz val="11"/>
      <color rgb="FF53565A"/>
      <name val="Poppins"/>
    </font>
    <font>
      <sz val="12"/>
      <color rgb="FF53565A"/>
      <name val="Poppins"/>
    </font>
    <font>
      <b/>
      <u/>
      <sz val="11"/>
      <color rgb="FF23356B"/>
      <name val="Poppins"/>
    </font>
    <font>
      <sz val="12"/>
      <color rgb="FFFF0000"/>
      <name val="Poppins"/>
    </font>
    <font>
      <sz val="12"/>
      <color theme="0"/>
      <name val="Poppins"/>
    </font>
    <font>
      <b/>
      <sz val="12"/>
      <color rgb="FF53565A"/>
      <name val="Poppins"/>
    </font>
    <font>
      <b/>
      <sz val="12"/>
      <color rgb="FF23356B"/>
      <name val="Poppins"/>
    </font>
    <font>
      <sz val="12"/>
      <color rgb="FF23356B"/>
      <name val="Poppins"/>
    </font>
    <font>
      <b/>
      <sz val="11"/>
      <color theme="0"/>
      <name val="Poppins"/>
    </font>
    <font>
      <b/>
      <sz val="12"/>
      <color theme="0"/>
      <name val="Poppins"/>
    </font>
    <font>
      <sz val="10"/>
      <color theme="1"/>
      <name val="Poppins Light"/>
    </font>
    <font>
      <u/>
      <sz val="12"/>
      <color theme="10"/>
      <name val="Poppins Light"/>
    </font>
    <font>
      <b/>
      <sz val="16"/>
      <color theme="1"/>
      <name val="Poppins Light"/>
    </font>
    <font>
      <i/>
      <u/>
      <sz val="9"/>
      <color theme="10"/>
      <name val="Poppins Light"/>
    </font>
    <font>
      <i/>
      <u/>
      <sz val="8"/>
      <color theme="10"/>
      <name val="Poppins"/>
    </font>
    <font>
      <b/>
      <i/>
      <sz val="11"/>
      <color rgb="FF23356B"/>
      <name val="Poppins"/>
    </font>
    <font>
      <i/>
      <u/>
      <sz val="12"/>
      <color theme="10"/>
      <name val="Poppins"/>
    </font>
    <font>
      <b/>
      <i/>
      <sz val="12"/>
      <color rgb="FF23356B"/>
      <name val="Poppins"/>
    </font>
    <font>
      <i/>
      <sz val="12"/>
      <color rgb="FF23356B"/>
      <name val="Poppins"/>
    </font>
    <font>
      <vertAlign val="superscript"/>
      <sz val="12"/>
      <color rgb="FF23356B"/>
      <name val="Poppins"/>
    </font>
    <font>
      <i/>
      <sz val="11"/>
      <color theme="1"/>
      <name val="Poppins"/>
    </font>
    <font>
      <sz val="11"/>
      <color rgb="FFFF0000"/>
      <name val="Poppins"/>
    </font>
    <font>
      <i/>
      <sz val="11"/>
      <color rgb="FF23356B"/>
      <name val="Poppins"/>
    </font>
    <font>
      <vertAlign val="superscript"/>
      <sz val="11"/>
      <color rgb="FF53565A"/>
      <name val="Poppins"/>
    </font>
    <font>
      <i/>
      <sz val="12"/>
      <color rgb="FF53565A"/>
      <name val="Poppins"/>
    </font>
  </fonts>
  <fills count="4">
    <fill>
      <patternFill patternType="none"/>
    </fill>
    <fill>
      <patternFill patternType="gray125"/>
    </fill>
    <fill>
      <patternFill patternType="solid">
        <fgColor rgb="FF23356B"/>
        <bgColor indexed="64"/>
      </patternFill>
    </fill>
    <fill>
      <patternFill patternType="solid">
        <fgColor rgb="FFEAEBEB"/>
        <bgColor indexed="64"/>
      </patternFill>
    </fill>
  </fills>
  <borders count="12">
    <border>
      <left/>
      <right/>
      <top/>
      <bottom/>
      <diagonal/>
    </border>
    <border>
      <left/>
      <right/>
      <top/>
      <bottom style="thin">
        <color rgb="FF23356B"/>
      </bottom>
      <diagonal/>
    </border>
    <border>
      <left/>
      <right/>
      <top/>
      <bottom style="thin">
        <color rgb="FF6CA7DB"/>
      </bottom>
      <diagonal/>
    </border>
    <border>
      <left style="dashed">
        <color rgb="FF23356B"/>
      </left>
      <right/>
      <top style="dashed">
        <color rgb="FF23356B"/>
      </top>
      <bottom/>
      <diagonal/>
    </border>
    <border>
      <left/>
      <right/>
      <top style="dashed">
        <color rgb="FF23356B"/>
      </top>
      <bottom/>
      <diagonal/>
    </border>
    <border>
      <left/>
      <right style="dashed">
        <color rgb="FF23356B"/>
      </right>
      <top style="dashed">
        <color rgb="FF23356B"/>
      </top>
      <bottom/>
      <diagonal/>
    </border>
    <border>
      <left style="dashed">
        <color rgb="FF23356B"/>
      </left>
      <right/>
      <top/>
      <bottom/>
      <diagonal/>
    </border>
    <border>
      <left/>
      <right style="dashed">
        <color rgb="FF23356B"/>
      </right>
      <top/>
      <bottom/>
      <diagonal/>
    </border>
    <border>
      <left style="dashed">
        <color rgb="FF23356B"/>
      </left>
      <right/>
      <top/>
      <bottom style="dashed">
        <color rgb="FF23356B"/>
      </bottom>
      <diagonal/>
    </border>
    <border>
      <left/>
      <right/>
      <top/>
      <bottom style="dashed">
        <color rgb="FF23356B"/>
      </bottom>
      <diagonal/>
    </border>
    <border>
      <left/>
      <right style="dashed">
        <color rgb="FF23356B"/>
      </right>
      <top/>
      <bottom style="dashed">
        <color rgb="FF23356B"/>
      </bottom>
      <diagonal/>
    </border>
    <border>
      <left/>
      <right/>
      <top style="thin">
        <color rgb="FF6CA7DB"/>
      </top>
      <bottom style="thin">
        <color rgb="FF6CA7DB"/>
      </bottom>
      <diagonal/>
    </border>
  </borders>
  <cellStyleXfs count="13">
    <xf numFmtId="0" fontId="0" fillId="0" borderId="0"/>
    <xf numFmtId="0" fontId="1" fillId="0" borderId="0"/>
    <xf numFmtId="0" fontId="3" fillId="0" borderId="0" applyNumberFormat="0" applyFill="0" applyBorder="0" applyAlignment="0" applyProtection="0"/>
    <xf numFmtId="0" fontId="11" fillId="0" borderId="0"/>
    <xf numFmtId="9" fontId="11" fillId="0" borderId="0" applyFont="0" applyFill="0" applyBorder="0" applyAlignment="0" applyProtection="0"/>
    <xf numFmtId="44" fontId="12" fillId="0" borderId="0" applyFont="0" applyFill="0" applyBorder="0" applyAlignment="0" applyProtection="0"/>
    <xf numFmtId="43" fontId="11" fillId="0" borderId="0" applyFont="0" applyFill="0" applyBorder="0" applyAlignment="0" applyProtection="0"/>
    <xf numFmtId="0" fontId="15" fillId="0" borderId="0" applyNumberFormat="0" applyFill="0" applyBorder="0" applyAlignment="0" applyProtection="0"/>
    <xf numFmtId="44" fontId="11" fillId="0" borderId="0" applyFont="0" applyFill="0" applyBorder="0" applyAlignment="0" applyProtection="0"/>
    <xf numFmtId="0" fontId="13" fillId="0" borderId="0"/>
    <xf numFmtId="9" fontId="13" fillId="0" borderId="0" applyFont="0" applyFill="0" applyBorder="0" applyAlignment="0" applyProtection="0"/>
    <xf numFmtId="164" fontId="11" fillId="0" borderId="0" applyFont="0" applyFill="0" applyBorder="0" applyAlignment="0" applyProtection="0"/>
    <xf numFmtId="0" fontId="3" fillId="0" borderId="0" applyNumberFormat="0" applyFill="0" applyBorder="0" applyAlignment="0" applyProtection="0"/>
  </cellStyleXfs>
  <cellXfs count="137">
    <xf numFmtId="0" fontId="0" fillId="0" borderId="0" xfId="0"/>
    <xf numFmtId="0" fontId="5" fillId="0" borderId="0" xfId="0" applyFont="1" applyAlignment="1">
      <alignment vertical="top"/>
    </xf>
    <xf numFmtId="0" fontId="4" fillId="0" borderId="0" xfId="0" applyFont="1" applyAlignment="1">
      <alignment vertical="top"/>
    </xf>
    <xf numFmtId="0" fontId="6" fillId="0" borderId="0" xfId="0" applyFont="1" applyAlignment="1">
      <alignment vertical="top"/>
    </xf>
    <xf numFmtId="0" fontId="19" fillId="0" borderId="0" xfId="0" applyFont="1"/>
    <xf numFmtId="38" fontId="19" fillId="0" borderId="0" xfId="0" applyNumberFormat="1" applyFont="1"/>
    <xf numFmtId="0" fontId="17" fillId="0" borderId="0" xfId="0" applyFont="1" applyAlignment="1">
      <alignment horizontal="centerContinuous" vertical="center" wrapText="1"/>
    </xf>
    <xf numFmtId="0" fontId="4" fillId="0" borderId="0" xfId="0" applyFont="1"/>
    <xf numFmtId="0" fontId="5" fillId="0" borderId="0" xfId="0" applyFont="1"/>
    <xf numFmtId="0" fontId="18" fillId="0" borderId="0" xfId="0" applyFont="1"/>
    <xf numFmtId="0" fontId="21" fillId="0" borderId="0" xfId="0" applyFont="1"/>
    <xf numFmtId="0" fontId="22" fillId="0" borderId="0" xfId="0" applyFont="1" applyAlignment="1">
      <alignment horizontal="center" vertical="center" wrapText="1"/>
    </xf>
    <xf numFmtId="0" fontId="22" fillId="0" borderId="0" xfId="0" applyFont="1" applyAlignment="1">
      <alignment horizontal="left" vertical="center"/>
    </xf>
    <xf numFmtId="0" fontId="22" fillId="0" borderId="1" xfId="0" applyFont="1" applyBorder="1" applyAlignment="1">
      <alignment horizontal="left" vertical="center"/>
    </xf>
    <xf numFmtId="0" fontId="22" fillId="0" borderId="1" xfId="0" applyFont="1" applyBorder="1" applyAlignment="1">
      <alignment horizontal="center" vertical="center" wrapText="1"/>
    </xf>
    <xf numFmtId="0" fontId="22" fillId="3" borderId="0" xfId="0" applyFont="1" applyFill="1"/>
    <xf numFmtId="0" fontId="22" fillId="0" borderId="0" xfId="0" applyFont="1"/>
    <xf numFmtId="0" fontId="22" fillId="3" borderId="2" xfId="0" applyFont="1" applyFill="1" applyBorder="1"/>
    <xf numFmtId="38" fontId="24" fillId="0" borderId="0" xfId="0" applyNumberFormat="1" applyFont="1"/>
    <xf numFmtId="0" fontId="24" fillId="0" borderId="0" xfId="0" applyFont="1" applyAlignment="1">
      <alignment horizontal="left" indent="3"/>
    </xf>
    <xf numFmtId="0" fontId="24" fillId="0" borderId="0" xfId="0" applyFont="1" applyAlignment="1">
      <alignment horizontal="left" wrapText="1" indent="3"/>
    </xf>
    <xf numFmtId="0" fontId="27" fillId="0" borderId="0" xfId="0" applyFont="1"/>
    <xf numFmtId="168" fontId="24" fillId="0" borderId="0" xfId="0" applyNumberFormat="1" applyFont="1" applyAlignment="1">
      <alignment horizontal="right"/>
    </xf>
    <xf numFmtId="168" fontId="26" fillId="0" borderId="0" xfId="6" applyNumberFormat="1" applyFont="1" applyBorder="1" applyAlignment="1">
      <alignment horizontal="right" vertical="center"/>
    </xf>
    <xf numFmtId="168" fontId="22" fillId="3" borderId="0" xfId="0" applyNumberFormat="1" applyFont="1" applyFill="1" applyAlignment="1">
      <alignment horizontal="right"/>
    </xf>
    <xf numFmtId="167" fontId="22" fillId="3" borderId="0" xfId="0" applyNumberFormat="1" applyFont="1" applyFill="1" applyAlignment="1">
      <alignment horizontal="right"/>
    </xf>
    <xf numFmtId="167" fontId="19" fillId="0" borderId="0" xfId="0" applyNumberFormat="1" applyFont="1" applyAlignment="1">
      <alignment horizontal="right"/>
    </xf>
    <xf numFmtId="167" fontId="22" fillId="3" borderId="2" xfId="0" applyNumberFormat="1" applyFont="1" applyFill="1" applyBorder="1" applyAlignment="1">
      <alignment horizontal="right"/>
    </xf>
    <xf numFmtId="168" fontId="19" fillId="0" borderId="0" xfId="0" applyNumberFormat="1" applyFont="1" applyAlignment="1">
      <alignment horizontal="right"/>
    </xf>
    <xf numFmtId="168" fontId="22" fillId="0" borderId="0" xfId="0" applyNumberFormat="1" applyFont="1" applyAlignment="1">
      <alignment horizontal="right"/>
    </xf>
    <xf numFmtId="168" fontId="22" fillId="3" borderId="2" xfId="0" applyNumberFormat="1" applyFont="1" applyFill="1" applyBorder="1" applyAlignment="1">
      <alignment horizontal="right"/>
    </xf>
    <xf numFmtId="0" fontId="28" fillId="0" borderId="0" xfId="0" applyFont="1" applyAlignment="1">
      <alignment vertical="center"/>
    </xf>
    <xf numFmtId="0" fontId="20" fillId="0" borderId="0" xfId="0" applyFont="1" applyAlignment="1">
      <alignment vertical="center"/>
    </xf>
    <xf numFmtId="0" fontId="29" fillId="0" borderId="0" xfId="0" applyFont="1" applyAlignment="1">
      <alignment horizontal="center" vertical="center"/>
    </xf>
    <xf numFmtId="0" fontId="20" fillId="0" borderId="0" xfId="0" applyFont="1" applyAlignment="1">
      <alignment horizontal="left" vertical="center"/>
    </xf>
    <xf numFmtId="166" fontId="20" fillId="0" borderId="0" xfId="0" applyNumberFormat="1" applyFont="1" applyAlignment="1">
      <alignment vertical="center"/>
    </xf>
    <xf numFmtId="0" fontId="26" fillId="0" borderId="0" xfId="0" applyFont="1" applyAlignment="1">
      <alignment vertical="center"/>
    </xf>
    <xf numFmtId="0" fontId="26" fillId="0" borderId="0" xfId="0" applyFont="1" applyAlignment="1">
      <alignment horizontal="left"/>
    </xf>
    <xf numFmtId="0" fontId="32" fillId="0" borderId="3" xfId="0" applyFont="1" applyBorder="1" applyAlignment="1">
      <alignment wrapText="1"/>
    </xf>
    <xf numFmtId="0" fontId="32" fillId="0" borderId="6" xfId="0" applyFont="1" applyBorder="1"/>
    <xf numFmtId="0" fontId="32" fillId="0" borderId="8" xfId="0" applyFont="1" applyBorder="1" applyAlignment="1">
      <alignment horizontal="left" wrapText="1"/>
    </xf>
    <xf numFmtId="0" fontId="2" fillId="0" borderId="0" xfId="0" applyFont="1" applyAlignment="1">
      <alignment vertical="top"/>
    </xf>
    <xf numFmtId="0" fontId="7" fillId="0" borderId="0" xfId="0" applyFont="1" applyAlignment="1">
      <alignment vertical="top"/>
    </xf>
    <xf numFmtId="14" fontId="14" fillId="0" borderId="0" xfId="0" applyNumberFormat="1" applyFont="1" applyAlignment="1">
      <alignment horizontal="left" vertical="top"/>
    </xf>
    <xf numFmtId="0" fontId="7" fillId="0" borderId="0" xfId="1" applyFont="1" applyAlignment="1">
      <alignment vertical="top"/>
    </xf>
    <xf numFmtId="0" fontId="5" fillId="0" borderId="0" xfId="1" applyFont="1" applyAlignment="1">
      <alignment vertical="top"/>
    </xf>
    <xf numFmtId="0" fontId="8" fillId="0" borderId="0" xfId="1" applyFont="1" applyAlignment="1">
      <alignment vertical="top"/>
    </xf>
    <xf numFmtId="0" fontId="9" fillId="0" borderId="0" xfId="1" applyFont="1" applyAlignment="1">
      <alignment vertical="top"/>
    </xf>
    <xf numFmtId="165" fontId="10" fillId="0" borderId="0" xfId="1" applyNumberFormat="1" applyFont="1" applyAlignment="1">
      <alignment vertical="top"/>
    </xf>
    <xf numFmtId="0" fontId="5" fillId="0" borderId="0" xfId="0" applyFont="1" applyAlignment="1">
      <alignment vertical="top" wrapText="1"/>
    </xf>
    <xf numFmtId="0" fontId="24" fillId="0" borderId="0" xfId="0" applyFont="1"/>
    <xf numFmtId="0" fontId="7" fillId="0" borderId="0" xfId="0" applyFont="1"/>
    <xf numFmtId="0" fontId="25" fillId="0" borderId="0" xfId="0" applyFont="1"/>
    <xf numFmtId="0" fontId="5" fillId="0" borderId="0" xfId="0" applyFont="1" applyAlignment="1">
      <alignment horizontal="center"/>
    </xf>
    <xf numFmtId="168" fontId="24" fillId="0" borderId="0" xfId="0" applyNumberFormat="1" applyFont="1" applyAlignment="1">
      <alignment horizontal="center"/>
    </xf>
    <xf numFmtId="168" fontId="33" fillId="2" borderId="0" xfId="0" applyNumberFormat="1" applyFont="1" applyFill="1" applyAlignment="1">
      <alignment horizontal="center"/>
    </xf>
    <xf numFmtId="0" fontId="20" fillId="0" borderId="0" xfId="0" applyFont="1" applyAlignment="1">
      <alignment vertical="top"/>
    </xf>
    <xf numFmtId="0" fontId="39" fillId="0" borderId="0" xfId="12" applyFont="1" applyBorder="1"/>
    <xf numFmtId="0" fontId="40" fillId="0" borderId="1" xfId="0" applyFont="1" applyBorder="1" applyAlignment="1">
      <alignment horizontal="left" vertical="center" wrapText="1"/>
    </xf>
    <xf numFmtId="0" fontId="22" fillId="3" borderId="1" xfId="0" applyFont="1" applyFill="1" applyBorder="1" applyAlignment="1">
      <alignment horizontal="center" vertical="center" wrapText="1"/>
    </xf>
    <xf numFmtId="0" fontId="31" fillId="3" borderId="1" xfId="0" applyFont="1" applyFill="1" applyBorder="1" applyAlignment="1">
      <alignment horizontal="center" vertical="center" wrapText="1"/>
    </xf>
    <xf numFmtId="167" fontId="31" fillId="3" borderId="0" xfId="0" applyNumberFormat="1" applyFont="1" applyFill="1"/>
    <xf numFmtId="168" fontId="32" fillId="0" borderId="4" xfId="0" applyNumberFormat="1" applyFont="1" applyBorder="1" applyAlignment="1">
      <alignment horizontal="right"/>
    </xf>
    <xf numFmtId="168" fontId="32" fillId="0" borderId="5" xfId="0" applyNumberFormat="1" applyFont="1" applyBorder="1" applyAlignment="1">
      <alignment horizontal="right"/>
    </xf>
    <xf numFmtId="168" fontId="32" fillId="0" borderId="7" xfId="0" applyNumberFormat="1" applyFont="1" applyBorder="1" applyAlignment="1">
      <alignment horizontal="right"/>
    </xf>
    <xf numFmtId="168" fontId="32" fillId="0" borderId="9" xfId="0" applyNumberFormat="1" applyFont="1" applyBorder="1" applyAlignment="1">
      <alignment horizontal="right"/>
    </xf>
    <xf numFmtId="168" fontId="32" fillId="0" borderId="10" xfId="0" applyNumberFormat="1" applyFont="1" applyBorder="1" applyAlignment="1">
      <alignment horizontal="right"/>
    </xf>
    <xf numFmtId="0" fontId="31" fillId="3" borderId="0" xfId="0" applyFont="1" applyFill="1" applyAlignment="1">
      <alignment vertical="center"/>
    </xf>
    <xf numFmtId="168" fontId="31" fillId="3" borderId="0" xfId="0" applyNumberFormat="1" applyFont="1" applyFill="1" applyAlignment="1">
      <alignment horizontal="right"/>
    </xf>
    <xf numFmtId="170" fontId="43" fillId="0" borderId="0" xfId="0" applyNumberFormat="1" applyFont="1"/>
    <xf numFmtId="167" fontId="31" fillId="3" borderId="0" xfId="0" applyNumberFormat="1" applyFont="1" applyFill="1" applyAlignment="1">
      <alignment horizontal="right"/>
    </xf>
    <xf numFmtId="167" fontId="26" fillId="0" borderId="0" xfId="0" applyNumberFormat="1" applyFont="1" applyAlignment="1">
      <alignment horizontal="right"/>
    </xf>
    <xf numFmtId="170" fontId="43" fillId="0" borderId="0" xfId="0" applyNumberFormat="1" applyFont="1" applyAlignment="1">
      <alignment horizontal="right"/>
    </xf>
    <xf numFmtId="0" fontId="41" fillId="0" borderId="0" xfId="12" applyFont="1"/>
    <xf numFmtId="0" fontId="42" fillId="0" borderId="1" xfId="0" applyFont="1" applyBorder="1" applyAlignment="1">
      <alignment horizontal="left" vertical="center" wrapText="1"/>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38" fontId="20" fillId="0" borderId="0" xfId="0" applyNumberFormat="1" applyFont="1"/>
    <xf numFmtId="166" fontId="31" fillId="3" borderId="0" xfId="0" applyNumberFormat="1" applyFont="1" applyFill="1" applyAlignment="1">
      <alignment vertical="center"/>
    </xf>
    <xf numFmtId="167" fontId="26" fillId="0" borderId="0" xfId="0" applyNumberFormat="1" applyFont="1"/>
    <xf numFmtId="0" fontId="30" fillId="0" borderId="0" xfId="0" applyFont="1"/>
    <xf numFmtId="167" fontId="30" fillId="0" borderId="0" xfId="0" applyNumberFormat="1" applyFont="1"/>
    <xf numFmtId="168" fontId="26" fillId="0" borderId="0" xfId="0" applyNumberFormat="1" applyFont="1" applyAlignment="1">
      <alignment horizontal="right"/>
    </xf>
    <xf numFmtId="168" fontId="26" fillId="0" borderId="0" xfId="6" applyNumberFormat="1" applyFont="1" applyAlignment="1">
      <alignment horizontal="right"/>
    </xf>
    <xf numFmtId="168" fontId="31" fillId="3" borderId="0" xfId="0" applyNumberFormat="1" applyFont="1" applyFill="1" applyAlignment="1">
      <alignment horizontal="right" vertical="center"/>
    </xf>
    <xf numFmtId="0" fontId="31" fillId="0" borderId="0" xfId="0" applyFont="1" applyAlignment="1">
      <alignment vertical="center"/>
    </xf>
    <xf numFmtId="168" fontId="26" fillId="0" borderId="0" xfId="6" applyNumberFormat="1" applyFont="1" applyAlignment="1">
      <alignment horizontal="right" vertical="center"/>
    </xf>
    <xf numFmtId="38" fontId="26" fillId="0" borderId="0" xfId="0" applyNumberFormat="1" applyFont="1"/>
    <xf numFmtId="0" fontId="30" fillId="0" borderId="0" xfId="0" applyFont="1" applyAlignment="1">
      <alignment vertical="center"/>
    </xf>
    <xf numFmtId="169" fontId="30" fillId="0" borderId="0" xfId="0" applyNumberFormat="1" applyFont="1" applyAlignment="1">
      <alignment horizontal="right"/>
    </xf>
    <xf numFmtId="168" fontId="32" fillId="0" borderId="0" xfId="0" applyNumberFormat="1" applyFont="1" applyAlignment="1">
      <alignment horizontal="right"/>
    </xf>
    <xf numFmtId="166" fontId="34" fillId="2" borderId="0" xfId="0" applyNumberFormat="1" applyFont="1" applyFill="1" applyAlignment="1">
      <alignment vertical="center"/>
    </xf>
    <xf numFmtId="167" fontId="34" fillId="2" borderId="0" xfId="0" applyNumberFormat="1" applyFont="1" applyFill="1"/>
    <xf numFmtId="0" fontId="43" fillId="0" borderId="0" xfId="0" applyFont="1" applyAlignment="1">
      <alignment vertical="center"/>
    </xf>
    <xf numFmtId="0" fontId="26" fillId="0" borderId="0" xfId="0" applyFont="1" applyAlignment="1">
      <alignment horizontal="left" vertical="center" wrapText="1"/>
    </xf>
    <xf numFmtId="167" fontId="26" fillId="0" borderId="0" xfId="0" applyNumberFormat="1" applyFont="1" applyAlignment="1">
      <alignment vertical="center"/>
    </xf>
    <xf numFmtId="0" fontId="35" fillId="0" borderId="0" xfId="0" applyFont="1" applyAlignment="1">
      <alignment horizontal="left"/>
    </xf>
    <xf numFmtId="0" fontId="32" fillId="0" borderId="0" xfId="0" applyFont="1" applyAlignment="1">
      <alignment vertical="center"/>
    </xf>
    <xf numFmtId="167" fontId="20" fillId="0" borderId="0" xfId="0" applyNumberFormat="1" applyFont="1" applyAlignment="1">
      <alignment vertical="center"/>
    </xf>
    <xf numFmtId="0" fontId="19" fillId="0" borderId="0" xfId="0" applyFont="1" applyAlignment="1">
      <alignment vertical="center"/>
    </xf>
    <xf numFmtId="0" fontId="19" fillId="0" borderId="0" xfId="0" applyFont="1" applyAlignment="1">
      <alignment vertical="center" wrapText="1"/>
    </xf>
    <xf numFmtId="0" fontId="24" fillId="0" borderId="0" xfId="0" applyFont="1" applyAlignment="1">
      <alignment horizontal="left"/>
    </xf>
    <xf numFmtId="0" fontId="24" fillId="0" borderId="0" xfId="0" applyFont="1" applyAlignment="1">
      <alignment vertical="center" wrapText="1"/>
    </xf>
    <xf numFmtId="15" fontId="24" fillId="0" borderId="0" xfId="0" applyNumberFormat="1" applyFont="1" applyAlignment="1">
      <alignment horizontal="right" vertical="center" wrapText="1"/>
    </xf>
    <xf numFmtId="3" fontId="24" fillId="0" borderId="0" xfId="0" applyNumberFormat="1" applyFont="1" applyAlignment="1">
      <alignment vertical="center" wrapText="1"/>
    </xf>
    <xf numFmtId="0" fontId="23" fillId="0" borderId="10" xfId="0" applyFont="1" applyBorder="1" applyAlignment="1">
      <alignment horizontal="left" wrapText="1"/>
    </xf>
    <xf numFmtId="0" fontId="45" fillId="0" borderId="0" xfId="0" applyFont="1" applyAlignment="1">
      <alignment vertical="center"/>
    </xf>
    <xf numFmtId="0" fontId="46" fillId="0" borderId="0" xfId="0" applyFont="1" applyAlignment="1">
      <alignment vertical="center"/>
    </xf>
    <xf numFmtId="0" fontId="24" fillId="0" borderId="0" xfId="0" applyFont="1" applyAlignment="1">
      <alignment horizontal="justify" vertical="center" wrapText="1"/>
    </xf>
    <xf numFmtId="3" fontId="24" fillId="0" borderId="0" xfId="0" applyNumberFormat="1" applyFont="1" applyAlignment="1">
      <alignment horizontal="center" vertical="center" wrapText="1"/>
    </xf>
    <xf numFmtId="0" fontId="23" fillId="0" borderId="7" xfId="0" applyFont="1" applyBorder="1" applyAlignment="1">
      <alignment wrapText="1"/>
    </xf>
    <xf numFmtId="0" fontId="33" fillId="2" borderId="0" xfId="0" applyFont="1" applyFill="1" applyAlignment="1">
      <alignment vertical="center" wrapText="1"/>
    </xf>
    <xf numFmtId="0" fontId="17" fillId="2" borderId="0" xfId="0" applyFont="1" applyFill="1" applyAlignment="1">
      <alignment horizontal="center" vertical="center" wrapText="1"/>
    </xf>
    <xf numFmtId="171" fontId="24" fillId="0" borderId="0" xfId="0" applyNumberFormat="1" applyFont="1" applyAlignment="1">
      <alignment horizontal="right" vertical="center" wrapText="1"/>
    </xf>
    <xf numFmtId="171" fontId="17" fillId="2" borderId="0" xfId="0" applyNumberFormat="1" applyFont="1" applyFill="1" applyAlignment="1">
      <alignment horizontal="center" vertical="center" wrapText="1"/>
    </xf>
    <xf numFmtId="172" fontId="24" fillId="0" borderId="0" xfId="0" applyNumberFormat="1" applyFont="1" applyAlignment="1">
      <alignment horizontal="justify" vertical="center" wrapText="1"/>
    </xf>
    <xf numFmtId="172" fontId="24" fillId="0" borderId="0" xfId="0" applyNumberFormat="1" applyFont="1" applyAlignment="1">
      <alignment vertical="center" wrapText="1"/>
    </xf>
    <xf numFmtId="172" fontId="17" fillId="2" borderId="0" xfId="0" applyNumberFormat="1" applyFont="1" applyFill="1" applyAlignment="1">
      <alignment horizontal="center" vertical="center" wrapText="1"/>
    </xf>
    <xf numFmtId="0" fontId="47" fillId="0" borderId="0" xfId="0" applyFont="1" applyAlignment="1">
      <alignment horizontal="center" vertical="center" wrapText="1"/>
    </xf>
    <xf numFmtId="0" fontId="23" fillId="0" borderId="0" xfId="0" applyFont="1" applyAlignment="1">
      <alignment vertical="center"/>
    </xf>
    <xf numFmtId="172" fontId="26" fillId="0" borderId="0" xfId="0" applyNumberFormat="1" applyFont="1" applyAlignment="1">
      <alignment horizontal="right" vertical="center" wrapText="1" indent="2"/>
    </xf>
    <xf numFmtId="173" fontId="49" fillId="0" borderId="0" xfId="0" applyNumberFormat="1" applyFont="1"/>
    <xf numFmtId="0" fontId="25" fillId="0" borderId="0" xfId="0" applyFont="1" applyAlignment="1">
      <alignment horizontal="left" indent="3"/>
    </xf>
    <xf numFmtId="0" fontId="17" fillId="0" borderId="0" xfId="0" applyFont="1" applyAlignment="1">
      <alignment horizontal="center" vertical="center"/>
    </xf>
    <xf numFmtId="166" fontId="19" fillId="0" borderId="0" xfId="0" applyNumberFormat="1" applyFont="1" applyAlignment="1">
      <alignment vertical="center"/>
    </xf>
    <xf numFmtId="168" fontId="24" fillId="0" borderId="0" xfId="6" applyNumberFormat="1" applyFont="1" applyBorder="1" applyAlignment="1">
      <alignment horizontal="right" vertical="center"/>
    </xf>
    <xf numFmtId="0" fontId="46" fillId="0" borderId="0" xfId="0" applyFont="1"/>
    <xf numFmtId="167" fontId="22" fillId="3" borderId="11" xfId="0" applyNumberFormat="1" applyFont="1" applyFill="1" applyBorder="1" applyAlignment="1">
      <alignment horizontal="left"/>
    </xf>
    <xf numFmtId="167" fontId="22" fillId="3" borderId="11" xfId="0" applyNumberFormat="1" applyFont="1" applyFill="1" applyBorder="1"/>
    <xf numFmtId="0" fontId="36" fillId="0" borderId="0" xfId="12" applyFont="1" applyAlignment="1">
      <alignment horizontal="left"/>
    </xf>
    <xf numFmtId="0" fontId="38" fillId="0" borderId="0" xfId="12" applyFont="1" applyAlignment="1">
      <alignment horizontal="left" indent="3"/>
    </xf>
    <xf numFmtId="0" fontId="35" fillId="0" borderId="0" xfId="0" applyFont="1" applyAlignment="1">
      <alignment horizontal="left"/>
    </xf>
    <xf numFmtId="0" fontId="37" fillId="0" borderId="0" xfId="0" applyFont="1" applyAlignment="1">
      <alignment horizontal="left" vertical="top"/>
    </xf>
    <xf numFmtId="0" fontId="36" fillId="0" borderId="0" xfId="12" applyFont="1" applyAlignment="1">
      <alignment horizontal="left" wrapText="1"/>
    </xf>
    <xf numFmtId="0" fontId="0" fillId="0" borderId="0" xfId="0" applyAlignment="1">
      <alignment horizontal="left" wrapText="1"/>
    </xf>
    <xf numFmtId="0" fontId="25" fillId="0" borderId="0" xfId="0" applyFont="1" applyAlignment="1">
      <alignment horizontal="left" wrapText="1"/>
    </xf>
    <xf numFmtId="0" fontId="0" fillId="0" borderId="0" xfId="0" applyAlignment="1">
      <alignment wrapText="1"/>
    </xf>
  </cellXfs>
  <cellStyles count="13">
    <cellStyle name="Comma 2" xfId="6" xr:uid="{384624DA-50A7-4234-AD95-73DDFAB4CD48}"/>
    <cellStyle name="Comma 3" xfId="11" xr:uid="{4B6DF8F9-B40A-4CD1-9344-90D40A84B24B}"/>
    <cellStyle name="Currency 2" xfId="8" xr:uid="{C6904B6E-2FD5-4E05-AAF1-174199B57F5F}"/>
    <cellStyle name="Hipervínculo" xfId="12" builtinId="8"/>
    <cellStyle name="Hyperlink 2" xfId="2" xr:uid="{F4C103F6-C63F-47EC-B9B7-2EE9E99F7F04}"/>
    <cellStyle name="Hyperlink 3" xfId="7" xr:uid="{796CF47A-1FE3-4CEE-9612-433496E4AF47}"/>
    <cellStyle name="Moneda 3" xfId="5" xr:uid="{A5DDB7C4-8E9C-44F6-AC83-9E4829D9DA04}"/>
    <cellStyle name="Normal" xfId="0" builtinId="0"/>
    <cellStyle name="Normal 2" xfId="1" xr:uid="{2D3A6347-DBCF-446E-BB3F-39EFBC0FCCAF}"/>
    <cellStyle name="Normal 3" xfId="3" xr:uid="{E1A2B54E-D194-4492-8437-C2FB9B53E6C5}"/>
    <cellStyle name="Normal 4" xfId="9" xr:uid="{B968274C-96A1-44CC-8AB4-4BA855B6508F}"/>
    <cellStyle name="Percent 2" xfId="4" xr:uid="{4EA5444B-FE91-415C-9C43-CD1837DE7A42}"/>
    <cellStyle name="Percent 3" xfId="10" xr:uid="{992A58C2-FB4F-489E-9CED-8476AC863337}"/>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255BE3"/>
      <rgbColor rgb="000F1632"/>
      <rgbColor rgb="0073C2FC"/>
      <rgbColor rgb="00A4ACAF"/>
      <rgbColor rgb="00388A42"/>
      <rgbColor rgb="0080CE84"/>
      <rgbColor rgb="00FAB728"/>
      <rgbColor rgb="00FEDD58"/>
      <rgbColor rgb="00966425"/>
      <rgbColor rgb="00BB9A71"/>
      <rgbColor rgb="00B23802"/>
      <rgbColor rgb="00FFCD00"/>
      <rgbColor rgb="00E5A824"/>
      <rgbColor rgb="00FF5C0B"/>
      <rgbColor rgb="00FFA15A"/>
      <rgbColor rgb="0075130B"/>
      <rgbColor rgb="00FF7671"/>
      <rgbColor rgb="0097D700"/>
      <rgbColor rgb="00335525"/>
      <rgbColor rgb="00B6DC62"/>
      <rgbColor rgb="0000AF68"/>
      <rgbColor rgb="00194044"/>
      <rgbColor rgb="008E319C"/>
      <rgbColor rgb="0056225A"/>
      <rgbColor rgb="00C599FF"/>
      <rgbColor rgb="00D71671"/>
      <rgbColor rgb="00871A4E"/>
      <rgbColor rgb="00F98AC9"/>
      <rgbColor rgb="00FF3C28"/>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3565A"/>
      <color rgb="FF23356B"/>
      <color rgb="FFEAEBEB"/>
      <color rgb="FF97999B"/>
      <color rgb="FF6CA7DB"/>
      <color rgb="FF56AD71"/>
      <color rgb="FFFFFFD1"/>
      <color rgb="FF60A4E8"/>
      <color rgb="FFF38D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18</xdr:col>
      <xdr:colOff>409415</xdr:colOff>
      <xdr:row>49</xdr:row>
      <xdr:rowOff>50242</xdr:rowOff>
    </xdr:to>
    <xdr:pic>
      <xdr:nvPicPr>
        <xdr:cNvPr id="15" name="Picture 14">
          <a:extLst>
            <a:ext uri="{FF2B5EF4-FFF2-40B4-BE49-F238E27FC236}">
              <a16:creationId xmlns:a16="http://schemas.microsoft.com/office/drawing/2014/main" id="{A4B94EE0-460C-3C62-2BE3-007E8AD4DCC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711" b="7711"/>
        <a:stretch/>
      </xdr:blipFill>
      <xdr:spPr bwMode="auto">
        <a:xfrm>
          <a:off x="108858" y="136071"/>
          <a:ext cx="12193200" cy="685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xdr:row>
      <xdr:rowOff>0</xdr:rowOff>
    </xdr:from>
    <xdr:to>
      <xdr:col>18</xdr:col>
      <xdr:colOff>409414</xdr:colOff>
      <xdr:row>51</xdr:row>
      <xdr:rowOff>81642</xdr:rowOff>
    </xdr:to>
    <xdr:sp macro="" textlink="">
      <xdr:nvSpPr>
        <xdr:cNvPr id="16" name="Rectangle 15">
          <a:extLst>
            <a:ext uri="{FF2B5EF4-FFF2-40B4-BE49-F238E27FC236}">
              <a16:creationId xmlns:a16="http://schemas.microsoft.com/office/drawing/2014/main" id="{3732EC5C-7FD6-2CD7-30BB-815E659E7CCB}"/>
            </a:ext>
          </a:extLst>
        </xdr:cNvPr>
        <xdr:cNvSpPr/>
      </xdr:nvSpPr>
      <xdr:spPr bwMode="auto">
        <a:xfrm>
          <a:off x="108857" y="136071"/>
          <a:ext cx="12193200" cy="6858000"/>
        </a:xfrm>
        <a:prstGeom prst="rect">
          <a:avLst/>
        </a:prstGeom>
        <a:gradFill flip="none" rotWithShape="1">
          <a:gsLst>
            <a:gs pos="0">
              <a:srgbClr val="23356B">
                <a:alpha val="91765"/>
              </a:srgbClr>
            </a:gs>
            <a:gs pos="27000">
              <a:srgbClr val="23356B">
                <a:alpha val="45000"/>
              </a:srgbClr>
            </a:gs>
            <a:gs pos="67000">
              <a:srgbClr val="23356B">
                <a:alpha val="89000"/>
              </a:srgbClr>
            </a:gs>
            <a:gs pos="100000">
              <a:srgbClr val="23356B">
                <a:alpha val="36000"/>
              </a:srgbClr>
            </a:gs>
          </a:gsLst>
          <a:lin ang="2700000" scaled="1"/>
          <a:tileRect/>
        </a:gradFill>
        <a:ln w="6350" cap="flat" cmpd="sng" algn="ctr">
          <a:noFill/>
          <a:prstDash val="solid"/>
          <a:round/>
          <a:headEnd type="none" w="med" len="med"/>
          <a:tailEnd type="none" w="med" len="med"/>
        </a:ln>
        <a:effectLst/>
      </xdr:spPr>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l" defTabSz="914400" fontAlgn="base">
            <a:spcBef>
              <a:spcPct val="0"/>
            </a:spcBef>
            <a:spcAft>
              <a:spcPct val="0"/>
            </a:spcAft>
          </a:pPr>
          <a:endParaRPr lang="en-US" sz="1000">
            <a:solidFill>
              <a:schemeClr val="bg1"/>
            </a:solidFill>
          </a:endParaRPr>
        </a:p>
      </xdr:txBody>
    </xdr:sp>
    <xdr:clientData/>
  </xdr:twoCellAnchor>
  <xdr:twoCellAnchor>
    <xdr:from>
      <xdr:col>2</xdr:col>
      <xdr:colOff>453601</xdr:colOff>
      <xdr:row>34</xdr:row>
      <xdr:rowOff>45601</xdr:rowOff>
    </xdr:from>
    <xdr:to>
      <xdr:col>13</xdr:col>
      <xdr:colOff>489857</xdr:colOff>
      <xdr:row>39</xdr:row>
      <xdr:rowOff>85244</xdr:rowOff>
    </xdr:to>
    <xdr:sp macro="" textlink="">
      <xdr:nvSpPr>
        <xdr:cNvPr id="17" name="Title 1">
          <a:extLst>
            <a:ext uri="{FF2B5EF4-FFF2-40B4-BE49-F238E27FC236}">
              <a16:creationId xmlns:a16="http://schemas.microsoft.com/office/drawing/2014/main" id="{AD977922-6CE5-46D5-27C2-473FCD501A94}"/>
            </a:ext>
          </a:extLst>
        </xdr:cNvPr>
        <xdr:cNvSpPr>
          <a:spLocks noGrp="1"/>
        </xdr:cNvSpPr>
      </xdr:nvSpPr>
      <xdr:spPr>
        <a:xfrm>
          <a:off x="671315" y="4644815"/>
          <a:ext cx="8649578" cy="720000"/>
        </a:xfrm>
        <a:prstGeom prst="rect">
          <a:avLst/>
        </a:prstGeom>
        <a:ln>
          <a:noFill/>
        </a:ln>
      </xdr:spPr>
      <xdr:txBody>
        <a:bodyPr vert="horz" wrap="square" lIns="0" tIns="0" rIns="0" bIns="0" rtlCol="0" anchor="b" anchorCtr="0">
          <a:noAutofit/>
        </a:bodyPr>
        <a:lstStyle>
          <a:lvl1pPr algn="l" defTabSz="844083" rtl="0" eaLnBrk="1" latinLnBrk="0" hangingPunct="1">
            <a:lnSpc>
              <a:spcPct val="100000"/>
            </a:lnSpc>
            <a:spcBef>
              <a:spcPct val="0"/>
            </a:spcBef>
            <a:buNone/>
            <a:defRPr sz="2200" b="0" kern="1200" spc="-30" baseline="0">
              <a:solidFill>
                <a:schemeClr val="accent1"/>
              </a:solidFill>
              <a:latin typeface="+mn-lt"/>
              <a:ea typeface="+mj-ea"/>
              <a:cs typeface="+mj-cs"/>
            </a:defRPr>
          </a:lvl1pPr>
        </a:lstStyle>
        <a:p>
          <a:r>
            <a:rPr lang="en-US" sz="3200">
              <a:solidFill>
                <a:schemeClr val="bg1"/>
              </a:solidFill>
              <a:latin typeface="Poppins Light" panose="00000400000000000000" pitchFamily="2" charset="0"/>
              <a:cs typeface="Poppins Light" panose="00000400000000000000" pitchFamily="2" charset="0"/>
            </a:rPr>
            <a:t>Datos Operativos y Financieros</a:t>
          </a:r>
          <a:r>
            <a:rPr lang="en-US" sz="3200" baseline="0">
              <a:solidFill>
                <a:schemeClr val="bg1"/>
              </a:solidFill>
              <a:latin typeface="Poppins Light" panose="00000400000000000000" pitchFamily="2" charset="0"/>
              <a:cs typeface="Poppins Light" panose="00000400000000000000" pitchFamily="2" charset="0"/>
            </a:rPr>
            <a:t> Históricos</a:t>
          </a:r>
          <a:endParaRPr lang="en-US" sz="3200">
            <a:solidFill>
              <a:schemeClr val="bg1"/>
            </a:solidFill>
            <a:latin typeface="Poppins Light" panose="00000400000000000000" pitchFamily="2" charset="0"/>
            <a:cs typeface="Poppins Light" panose="00000400000000000000" pitchFamily="2" charset="0"/>
          </a:endParaRPr>
        </a:p>
      </xdr:txBody>
    </xdr:sp>
    <xdr:clientData/>
  </xdr:twoCellAnchor>
  <xdr:twoCellAnchor>
    <xdr:from>
      <xdr:col>1</xdr:col>
      <xdr:colOff>1</xdr:colOff>
      <xdr:row>3</xdr:row>
      <xdr:rowOff>157842</xdr:rowOff>
    </xdr:from>
    <xdr:to>
      <xdr:col>3</xdr:col>
      <xdr:colOff>1687515</xdr:colOff>
      <xdr:row>20</xdr:row>
      <xdr:rowOff>95410</xdr:rowOff>
    </xdr:to>
    <xdr:sp macro="" textlink="">
      <xdr:nvSpPr>
        <xdr:cNvPr id="18" name="Freeform: Shape 17">
          <a:extLst>
            <a:ext uri="{FF2B5EF4-FFF2-40B4-BE49-F238E27FC236}">
              <a16:creationId xmlns:a16="http://schemas.microsoft.com/office/drawing/2014/main" id="{ED20EFB9-BBF1-1D10-462B-A642488FAB69}"/>
            </a:ext>
          </a:extLst>
        </xdr:cNvPr>
        <xdr:cNvSpPr/>
      </xdr:nvSpPr>
      <xdr:spPr bwMode="auto">
        <a:xfrm>
          <a:off x="108858" y="593271"/>
          <a:ext cx="3851050" cy="2196353"/>
        </a:xfrm>
        <a:custGeom>
          <a:avLst/>
          <a:gdLst>
            <a:gd name="connsiteX0" fmla="*/ 0 w 3851050"/>
            <a:gd name="connsiteY0" fmla="*/ 0 h 2196353"/>
            <a:gd name="connsiteX1" fmla="*/ 2866425 w 3851050"/>
            <a:gd name="connsiteY1" fmla="*/ 0 h 2196353"/>
            <a:gd name="connsiteX2" fmla="*/ 3851050 w 3851050"/>
            <a:gd name="connsiteY2" fmla="*/ 984625 h 2196353"/>
            <a:gd name="connsiteX3" fmla="*/ 3851050 w 3851050"/>
            <a:gd name="connsiteY3" fmla="*/ 1211728 h 2196353"/>
            <a:gd name="connsiteX4" fmla="*/ 2866425 w 3851050"/>
            <a:gd name="connsiteY4" fmla="*/ 2196353 h 2196353"/>
            <a:gd name="connsiteX5" fmla="*/ 0 w 3851050"/>
            <a:gd name="connsiteY5" fmla="*/ 2196353 h 21963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851050" h="2196353">
              <a:moveTo>
                <a:pt x="0" y="0"/>
              </a:moveTo>
              <a:lnTo>
                <a:pt x="2866425" y="0"/>
              </a:lnTo>
              <a:cubicBezTo>
                <a:pt x="3410218" y="0"/>
                <a:pt x="3851050" y="440832"/>
                <a:pt x="3851050" y="984625"/>
              </a:cubicBezTo>
              <a:lnTo>
                <a:pt x="3851050" y="1211728"/>
              </a:lnTo>
              <a:cubicBezTo>
                <a:pt x="3851050" y="1755521"/>
                <a:pt x="3410218" y="2196353"/>
                <a:pt x="2866425" y="2196353"/>
              </a:cubicBezTo>
              <a:lnTo>
                <a:pt x="0" y="2196353"/>
              </a:lnTo>
              <a:close/>
            </a:path>
          </a:pathLst>
        </a:custGeom>
        <a:solidFill>
          <a:schemeClr val="bg1"/>
        </a:solidFill>
        <a:ln w="6350" cap="flat" cmpd="sng" algn="ctr">
          <a:noFill/>
          <a:prstDash val="solid"/>
          <a:round/>
          <a:headEnd type="none" w="med" len="med"/>
          <a:tailEnd type="none" w="med" len="med"/>
        </a:ln>
        <a:effectLst/>
      </xdr:spPr>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l" defTabSz="914400" fontAlgn="base">
            <a:spcBef>
              <a:spcPct val="0"/>
            </a:spcBef>
            <a:spcAft>
              <a:spcPct val="0"/>
            </a:spcAft>
          </a:pPr>
          <a:endParaRPr lang="en-US" sz="1000">
            <a:solidFill>
              <a:schemeClr val="bg1"/>
            </a:solidFill>
          </a:endParaRPr>
        </a:p>
      </xdr:txBody>
    </xdr:sp>
    <xdr:clientData/>
  </xdr:twoCellAnchor>
  <xdr:twoCellAnchor editAs="oneCell">
    <xdr:from>
      <xdr:col>2</xdr:col>
      <xdr:colOff>296580</xdr:colOff>
      <xdr:row>5</xdr:row>
      <xdr:rowOff>148369</xdr:rowOff>
    </xdr:from>
    <xdr:to>
      <xdr:col>3</xdr:col>
      <xdr:colOff>1421697</xdr:colOff>
      <xdr:row>15</xdr:row>
      <xdr:rowOff>24870</xdr:rowOff>
    </xdr:to>
    <xdr:pic>
      <xdr:nvPicPr>
        <xdr:cNvPr id="19" name="Graphic 4">
          <a:extLst>
            <a:ext uri="{FF2B5EF4-FFF2-40B4-BE49-F238E27FC236}">
              <a16:creationId xmlns:a16="http://schemas.microsoft.com/office/drawing/2014/main" id="{BF48D1B7-0396-EB21-BC50-2C689B33D896}"/>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 uri="{96DAC541-7B7A-43D3-8B79-37D633B846F1}">
              <asvg:svgBlip xmlns:asvg="http://schemas.microsoft.com/office/drawing/2016/SVG/main" r:embed="rId3"/>
            </a:ext>
          </a:extLst>
        </a:blip>
        <a:stretch>
          <a:fillRect/>
        </a:stretch>
      </xdr:blipFill>
      <xdr:spPr>
        <a:xfrm>
          <a:off x="514294" y="937583"/>
          <a:ext cx="3179796" cy="1373287"/>
        </a:xfrm>
        <a:prstGeom prst="rect">
          <a:avLst/>
        </a:prstGeom>
      </xdr:spPr>
    </xdr:pic>
    <xdr:clientData/>
  </xdr:twoCellAnchor>
</xdr:wsDr>
</file>

<file path=xl/theme/theme1.xml><?xml version="1.0" encoding="utf-8"?>
<a:theme xmlns:a="http://schemas.openxmlformats.org/drawingml/2006/main" name="Office Theme">
  <a:themeElements>
    <a:clrScheme name="PitchPres Colors">
      <a:dk1>
        <a:srgbClr val="0F1632"/>
      </a:dk1>
      <a:lt1>
        <a:srgbClr val="FFFFFF"/>
      </a:lt1>
      <a:dk2>
        <a:srgbClr val="FF3C28"/>
      </a:dk2>
      <a:lt2>
        <a:srgbClr val="D3DADD"/>
      </a:lt2>
      <a:accent1>
        <a:srgbClr val="255BE3"/>
      </a:accent1>
      <a:accent2>
        <a:srgbClr val="0F1632"/>
      </a:accent2>
      <a:accent3>
        <a:srgbClr val="73C2FC"/>
      </a:accent3>
      <a:accent4>
        <a:srgbClr val="A4ACAF"/>
      </a:accent4>
      <a:accent5>
        <a:srgbClr val="388A42"/>
      </a:accent5>
      <a:accent6>
        <a:srgbClr val="80CE84"/>
      </a:accent6>
      <a:hlink>
        <a:srgbClr val="245BE2"/>
      </a:hlink>
      <a:folHlink>
        <a:srgbClr val="0F1632"/>
      </a:folHlink>
    </a:clrScheme>
    <a:fontScheme name="Citi Fonts">
      <a:majorFont>
        <a:latin typeface="Citi Sans Display"/>
        <a:ea typeface="Citi Serif SC Display"/>
        <a:cs typeface=""/>
        <a:font script="Jpan" typeface="MS PGothic"/>
      </a:majorFont>
      <a:minorFont>
        <a:latin typeface="Citi Sans Text"/>
        <a:ea typeface="Citi Sans SC Text"/>
        <a:cs typeface=""/>
        <a:font script="Jpan"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DF1DB-CCAD-4347-897E-245A0FAD9D03}">
  <dimension ref="A1:B1"/>
  <sheetViews>
    <sheetView workbookViewId="0"/>
  </sheetViews>
  <sheetFormatPr baseColWidth="10" defaultColWidth="8.83203125" defaultRowHeight="11.25"/>
  <sheetData>
    <row r="1" spans="1:2">
      <c r="B1" t="s">
        <v>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C4BF-2C4A-4BFA-89E2-BB635D517F84}">
  <sheetPr>
    <tabColor theme="0"/>
  </sheetPr>
  <dimension ref="A1:W53"/>
  <sheetViews>
    <sheetView showGridLines="0" tabSelected="1" view="pageBreakPreview" topLeftCell="A5" zoomScaleNormal="100" zoomScaleSheetLayoutView="100" workbookViewId="0"/>
  </sheetViews>
  <sheetFormatPr baseColWidth="10" defaultColWidth="9.1640625" defaultRowHeight="10.5" customHeight="1"/>
  <cols>
    <col min="1" max="2" width="1.6640625" style="1" customWidth="1"/>
    <col min="3" max="4" width="30.6640625" style="1" customWidth="1"/>
    <col min="5" max="6" width="1.6640625" style="1" customWidth="1"/>
    <col min="7" max="17" width="9.1640625" style="1"/>
    <col min="18" max="18" width="9.1640625" style="1" customWidth="1"/>
    <col min="19" max="19" width="9.1640625" style="1"/>
    <col min="20" max="21" width="14.6640625" style="56" customWidth="1"/>
    <col min="22" max="23" width="1.6640625" style="1" customWidth="1"/>
    <col min="24" max="16384" width="9.1640625" style="1"/>
  </cols>
  <sheetData>
    <row r="1" spans="1:23" ht="10.5" customHeight="1">
      <c r="A1" s="2" t="s">
        <v>0</v>
      </c>
      <c r="C1" s="49"/>
      <c r="W1" s="2" t="s">
        <v>0</v>
      </c>
    </row>
    <row r="2" spans="1:23" ht="11.25" customHeight="1"/>
    <row r="3" spans="1:23" ht="11.25" customHeight="1">
      <c r="B3" s="3"/>
      <c r="T3" s="132" t="s">
        <v>298</v>
      </c>
      <c r="U3" s="132"/>
    </row>
    <row r="4" spans="1:23" ht="15.95" customHeight="1">
      <c r="C4" s="41"/>
      <c r="T4" s="132"/>
      <c r="U4" s="132"/>
    </row>
    <row r="5" spans="1:23" ht="11.25" customHeight="1"/>
    <row r="6" spans="1:23" ht="11.25" customHeight="1">
      <c r="C6" s="42"/>
      <c r="D6" s="43"/>
      <c r="T6" s="129" t="s">
        <v>107</v>
      </c>
      <c r="U6" s="129"/>
    </row>
    <row r="7" spans="1:23" ht="11.25" customHeight="1">
      <c r="T7" s="129"/>
      <c r="U7" s="129"/>
    </row>
    <row r="8" spans="1:23" ht="11.25" customHeight="1">
      <c r="C8" s="44"/>
      <c r="D8" s="45"/>
      <c r="T8" s="129" t="s">
        <v>224</v>
      </c>
      <c r="U8" s="129"/>
    </row>
    <row r="9" spans="1:23" ht="11.25" customHeight="1">
      <c r="C9" s="45"/>
      <c r="D9" s="45"/>
      <c r="T9" s="129"/>
      <c r="U9" s="129"/>
    </row>
    <row r="10" spans="1:23" ht="11.25" customHeight="1">
      <c r="C10" s="46"/>
      <c r="D10" s="45"/>
      <c r="T10" s="129" t="s">
        <v>108</v>
      </c>
      <c r="U10" s="129"/>
    </row>
    <row r="11" spans="1:23" ht="11.25" customHeight="1">
      <c r="C11" s="47"/>
      <c r="D11" s="45"/>
      <c r="T11" s="129"/>
      <c r="U11" s="129"/>
    </row>
    <row r="12" spans="1:23" ht="11.25" customHeight="1">
      <c r="C12" s="48"/>
      <c r="D12" s="45"/>
      <c r="T12" s="130" t="s">
        <v>101</v>
      </c>
      <c r="U12" s="130"/>
    </row>
    <row r="13" spans="1:23" ht="11.25" customHeight="1">
      <c r="C13" s="48"/>
      <c r="D13" s="45"/>
      <c r="T13" s="130"/>
      <c r="U13" s="130"/>
    </row>
    <row r="14" spans="1:23" ht="11.25" customHeight="1">
      <c r="C14" s="44"/>
      <c r="D14" s="45"/>
      <c r="T14" s="130" t="s">
        <v>111</v>
      </c>
      <c r="U14" s="130"/>
    </row>
    <row r="15" spans="1:23" ht="11.25" customHeight="1">
      <c r="T15" s="130"/>
      <c r="U15" s="130"/>
    </row>
    <row r="16" spans="1:23" ht="11.25" customHeight="1">
      <c r="T16" s="130" t="s">
        <v>299</v>
      </c>
      <c r="U16" s="130"/>
    </row>
    <row r="17" spans="20:21" ht="11.25" customHeight="1">
      <c r="T17" s="130"/>
      <c r="U17" s="130"/>
    </row>
    <row r="18" spans="20:21" ht="10.5" customHeight="1">
      <c r="T18" s="130" t="s">
        <v>265</v>
      </c>
      <c r="U18" s="130"/>
    </row>
    <row r="19" spans="20:21" ht="10.5" customHeight="1">
      <c r="T19" s="130"/>
      <c r="U19" s="130"/>
    </row>
    <row r="20" spans="20:21" ht="10.5" customHeight="1">
      <c r="T20" s="129" t="s">
        <v>109</v>
      </c>
      <c r="U20" s="129"/>
    </row>
    <row r="21" spans="20:21" ht="10.5" customHeight="1">
      <c r="T21" s="129"/>
      <c r="U21" s="129"/>
    </row>
    <row r="22" spans="20:21" ht="10.5" customHeight="1">
      <c r="T22" s="133" t="s">
        <v>110</v>
      </c>
      <c r="U22" s="133"/>
    </row>
    <row r="23" spans="20:21" ht="10.5" customHeight="1">
      <c r="T23" s="134"/>
      <c r="U23" s="134"/>
    </row>
    <row r="25" spans="20:21" ht="10.5" customHeight="1">
      <c r="T25" s="96"/>
      <c r="U25" s="96"/>
    </row>
    <row r="26" spans="20:21" ht="10.5" customHeight="1">
      <c r="T26" s="131"/>
      <c r="U26" s="131"/>
    </row>
    <row r="27" spans="20:21" ht="10.5" customHeight="1">
      <c r="T27" s="131"/>
      <c r="U27" s="131"/>
    </row>
    <row r="28" spans="20:21" ht="10.5" customHeight="1">
      <c r="T28" s="131"/>
      <c r="U28" s="131"/>
    </row>
    <row r="29" spans="20:21" ht="10.5" customHeight="1">
      <c r="T29" s="131"/>
      <c r="U29" s="131"/>
    </row>
    <row r="30" spans="20:21" ht="10.5" customHeight="1">
      <c r="T30" s="131"/>
      <c r="U30" s="131"/>
    </row>
    <row r="31" spans="20:21" ht="10.5" customHeight="1">
      <c r="T31" s="131"/>
      <c r="U31" s="131"/>
    </row>
    <row r="32" spans="20:21" ht="10.5" customHeight="1">
      <c r="T32" s="131"/>
      <c r="U32" s="131"/>
    </row>
    <row r="33" spans="20:21" ht="10.5" customHeight="1">
      <c r="T33" s="131"/>
      <c r="U33" s="131"/>
    </row>
    <row r="34" spans="20:21" ht="10.5" customHeight="1">
      <c r="T34" s="131"/>
      <c r="U34" s="131"/>
    </row>
    <row r="35" spans="20:21" ht="10.5" customHeight="1">
      <c r="T35" s="131"/>
      <c r="U35" s="131"/>
    </row>
    <row r="36" spans="20:21" ht="10.5" customHeight="1">
      <c r="T36" s="131"/>
      <c r="U36" s="131"/>
    </row>
    <row r="37" spans="20:21" ht="10.5" customHeight="1">
      <c r="T37" s="131"/>
      <c r="U37" s="131"/>
    </row>
    <row r="38" spans="20:21" ht="10.5" customHeight="1">
      <c r="T38" s="131"/>
      <c r="U38" s="131"/>
    </row>
    <row r="39" spans="20:21" ht="10.5" customHeight="1">
      <c r="T39" s="131"/>
      <c r="U39" s="131"/>
    </row>
    <row r="40" spans="20:21" ht="10.5" customHeight="1">
      <c r="T40" s="131"/>
      <c r="U40" s="131"/>
    </row>
    <row r="41" spans="20:21" ht="10.5" customHeight="1">
      <c r="T41" s="131"/>
      <c r="U41" s="131"/>
    </row>
    <row r="42" spans="20:21" ht="10.5" customHeight="1">
      <c r="T42" s="131"/>
      <c r="U42" s="131"/>
    </row>
    <row r="43" spans="20:21" ht="10.5" customHeight="1">
      <c r="T43" s="131"/>
      <c r="U43" s="131"/>
    </row>
    <row r="44" spans="20:21" ht="10.5" customHeight="1">
      <c r="T44" s="131"/>
      <c r="U44" s="131"/>
    </row>
    <row r="45" spans="20:21" ht="10.5" customHeight="1">
      <c r="T45" s="131"/>
      <c r="U45" s="131"/>
    </row>
    <row r="46" spans="20:21" ht="10.5" customHeight="1">
      <c r="T46" s="131"/>
      <c r="U46" s="131"/>
    </row>
    <row r="47" spans="20:21" ht="10.5" customHeight="1">
      <c r="T47" s="131"/>
      <c r="U47" s="131"/>
    </row>
    <row r="52" spans="1:23" ht="5.25" customHeight="1"/>
    <row r="53" spans="1:23" ht="10.5" customHeight="1">
      <c r="A53" s="2" t="s">
        <v>0</v>
      </c>
      <c r="W53" s="2" t="s">
        <v>0</v>
      </c>
    </row>
  </sheetData>
  <mergeCells count="21">
    <mergeCell ref="T44:U45"/>
    <mergeCell ref="T46:U47"/>
    <mergeCell ref="T3:U4"/>
    <mergeCell ref="T14:U15"/>
    <mergeCell ref="T32:U33"/>
    <mergeCell ref="T34:U35"/>
    <mergeCell ref="T36:U37"/>
    <mergeCell ref="T38:U39"/>
    <mergeCell ref="T40:U41"/>
    <mergeCell ref="T42:U43"/>
    <mergeCell ref="T22:U23"/>
    <mergeCell ref="T26:U27"/>
    <mergeCell ref="T28:U29"/>
    <mergeCell ref="T30:U31"/>
    <mergeCell ref="T6:U7"/>
    <mergeCell ref="T8:U9"/>
    <mergeCell ref="T10:U11"/>
    <mergeCell ref="T12:U13"/>
    <mergeCell ref="T20:U21"/>
    <mergeCell ref="T18:U19"/>
    <mergeCell ref="T16:U17"/>
  </mergeCells>
  <hyperlinks>
    <hyperlink ref="T6:U7" location="'Lista de Propiedades'!A1" display="Lista de Propiedades" xr:uid="{B11B60CF-D5D3-47B1-9C9D-1097DB96D729}"/>
    <hyperlink ref="T8:U9" location="'Datos por CBFI'!A1" display="Datos por CBFI" xr:uid="{7072781C-2A88-46BB-9BF9-8EC1CE2E4DA0}"/>
    <hyperlink ref="T10:U11" location="'Estado de Resultados'!A1" display="Estado de Resultados" xr:uid="{47FEAB01-5711-47E2-881A-794DE50DE921}"/>
    <hyperlink ref="T12:U13" location="'Estado de Resultados'!A37" display="Reconciliaciones" xr:uid="{EDE7E268-8EB4-43FD-94A0-D255AB5A20D9}"/>
    <hyperlink ref="T20:U21" location="'Balance General'!A1" display="Balance General" xr:uid="{A58BFD77-451D-4B2C-87EC-2A2A4AFAE389}"/>
    <hyperlink ref="T14:U15" location="'Estado de Resultados'!A43" display="Reconciliación FFO/AFFO" xr:uid="{6D976D7F-5ABC-4B23-87A1-32256783CEE9}"/>
    <hyperlink ref="T16:U17" location="'Estado de Resultados'!A43" display="Reconciliación FFO/AFFO" xr:uid="{874BB761-F145-4B27-8838-901F99B71E4A}"/>
    <hyperlink ref="T18:U19" location="'Estado de Resultados'!A43" display="Reconciliación FFO/AFFO" xr:uid="{CA9D9EA4-6C01-4C76-868C-424F595A888F}"/>
  </hyperlinks>
  <pageMargins left="0.7" right="0.7" top="0.75" bottom="0.75" header="0.3" footer="0.3"/>
  <pageSetup scale="8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98048-44D7-43B5-8F13-83C920639023}">
  <dimension ref="A1:N24"/>
  <sheetViews>
    <sheetView showGridLines="0" view="pageBreakPreview" zoomScale="70" zoomScaleNormal="100" zoomScaleSheetLayoutView="70" workbookViewId="0"/>
  </sheetViews>
  <sheetFormatPr baseColWidth="10" defaultColWidth="9.1640625" defaultRowHeight="15.75"/>
  <cols>
    <col min="1" max="2" width="1.6640625" style="8" customWidth="1"/>
    <col min="3" max="3" width="8.6640625" style="8" customWidth="1"/>
    <col min="4" max="4" width="51.6640625" style="8" customWidth="1"/>
    <col min="5" max="5" width="32.33203125" style="53" customWidth="1"/>
    <col min="6" max="6" width="16.6640625" style="53" customWidth="1"/>
    <col min="7" max="8" width="25.6640625" style="53" customWidth="1"/>
    <col min="9" max="9" width="27.6640625" style="53" customWidth="1"/>
    <col min="10" max="10" width="30.83203125" style="53" customWidth="1"/>
    <col min="11" max="11" width="16.6640625" style="53" customWidth="1"/>
    <col min="12" max="12" width="9.1640625" style="8"/>
    <col min="13" max="14" width="1.6640625" style="8" customWidth="1"/>
    <col min="15" max="16384" width="9.1640625" style="8"/>
  </cols>
  <sheetData>
    <row r="1" spans="1:14">
      <c r="A1" s="7" t="s">
        <v>53</v>
      </c>
      <c r="N1" s="7" t="s">
        <v>53</v>
      </c>
    </row>
    <row r="2" spans="1:14" ht="15" customHeight="1">
      <c r="B2" s="57" t="s">
        <v>112</v>
      </c>
    </row>
    <row r="3" spans="1:14" ht="15" customHeight="1"/>
    <row r="4" spans="1:14" ht="21.75">
      <c r="C4" s="10"/>
      <c r="D4" s="135" t="s">
        <v>286</v>
      </c>
      <c r="E4" s="136"/>
      <c r="F4" s="136"/>
      <c r="G4" s="136"/>
      <c r="H4" s="136"/>
      <c r="I4" s="136"/>
      <c r="J4" s="136"/>
      <c r="K4" s="54"/>
    </row>
    <row r="5" spans="1:14" ht="21.75">
      <c r="C5" s="10"/>
      <c r="D5" s="136"/>
      <c r="E5" s="136"/>
      <c r="F5" s="136"/>
      <c r="G5" s="136"/>
      <c r="H5" s="136"/>
      <c r="I5" s="136"/>
      <c r="J5" s="136"/>
      <c r="K5" s="54"/>
    </row>
    <row r="6" spans="1:14" ht="21.75">
      <c r="C6" s="10"/>
      <c r="D6" s="136"/>
      <c r="E6" s="136"/>
      <c r="F6" s="136"/>
      <c r="G6" s="136"/>
      <c r="H6" s="136"/>
      <c r="I6" s="136"/>
      <c r="J6" s="136"/>
      <c r="K6" s="54"/>
    </row>
    <row r="7" spans="1:14" ht="21.75">
      <c r="C7" s="10"/>
      <c r="D7" s="136"/>
      <c r="E7" s="136"/>
      <c r="F7" s="136"/>
      <c r="G7" s="136"/>
      <c r="H7" s="136"/>
      <c r="I7" s="136"/>
      <c r="J7" s="136"/>
      <c r="K7" s="54"/>
    </row>
    <row r="8" spans="1:14" ht="21.75">
      <c r="C8" s="10"/>
      <c r="D8" s="136"/>
      <c r="E8" s="136"/>
      <c r="F8" s="136"/>
      <c r="G8" s="136"/>
      <c r="H8" s="136"/>
      <c r="I8" s="136"/>
      <c r="J8" s="136"/>
      <c r="K8" s="54"/>
    </row>
    <row r="9" spans="1:14" ht="21.75">
      <c r="C9" s="10"/>
      <c r="D9" s="136"/>
      <c r="E9" s="136"/>
      <c r="F9" s="136"/>
      <c r="G9" s="136"/>
      <c r="H9" s="136"/>
      <c r="I9" s="136"/>
      <c r="J9" s="136"/>
      <c r="K9" s="54"/>
    </row>
    <row r="10" spans="1:14" ht="21.75">
      <c r="C10" s="10"/>
      <c r="D10" s="136"/>
      <c r="E10" s="136"/>
      <c r="F10" s="136"/>
      <c r="G10" s="136"/>
      <c r="H10" s="136"/>
      <c r="I10" s="136"/>
      <c r="J10" s="136"/>
      <c r="K10" s="54"/>
    </row>
    <row r="11" spans="1:14" ht="21.75">
      <c r="C11" s="10"/>
      <c r="D11" s="136"/>
      <c r="E11" s="136"/>
      <c r="F11" s="136"/>
      <c r="G11" s="136"/>
      <c r="H11" s="136"/>
      <c r="I11" s="136"/>
      <c r="J11" s="136"/>
      <c r="K11" s="54"/>
    </row>
    <row r="12" spans="1:14" ht="21.75">
      <c r="C12" s="10"/>
      <c r="D12" s="136"/>
      <c r="E12" s="136"/>
      <c r="F12" s="136"/>
      <c r="G12" s="136"/>
      <c r="H12" s="136"/>
      <c r="I12" s="136"/>
      <c r="J12" s="136"/>
      <c r="K12" s="54"/>
    </row>
    <row r="13" spans="1:14" ht="21.75">
      <c r="C13" s="10"/>
      <c r="D13" s="136"/>
      <c r="E13" s="136"/>
      <c r="F13" s="136"/>
      <c r="G13" s="136"/>
      <c r="H13" s="136"/>
      <c r="I13" s="136"/>
      <c r="J13" s="136"/>
      <c r="K13" s="54"/>
    </row>
    <row r="14" spans="1:14" ht="21.75">
      <c r="C14" s="10"/>
      <c r="D14" s="136"/>
      <c r="E14" s="136"/>
      <c r="F14" s="136"/>
      <c r="G14" s="136"/>
      <c r="H14" s="136"/>
      <c r="I14" s="136"/>
      <c r="J14" s="136"/>
      <c r="K14" s="54"/>
    </row>
    <row r="15" spans="1:14" ht="21.75">
      <c r="C15" s="10"/>
      <c r="D15" s="136"/>
      <c r="E15" s="136"/>
      <c r="F15" s="136"/>
      <c r="G15" s="136"/>
      <c r="H15" s="136"/>
      <c r="I15" s="136"/>
      <c r="J15" s="136"/>
      <c r="K15" s="54"/>
    </row>
    <row r="16" spans="1:14" ht="21.75">
      <c r="C16" s="10"/>
      <c r="D16" s="136"/>
      <c r="E16" s="136"/>
      <c r="F16" s="136"/>
      <c r="G16" s="136"/>
      <c r="H16" s="136"/>
      <c r="I16" s="136"/>
      <c r="J16" s="136"/>
      <c r="K16" s="54"/>
    </row>
    <row r="17" spans="1:14" ht="21.75">
      <c r="C17" s="10"/>
      <c r="D17" s="136"/>
      <c r="E17" s="136"/>
      <c r="F17" s="136"/>
      <c r="G17" s="136"/>
      <c r="H17" s="136"/>
      <c r="I17" s="136"/>
      <c r="J17" s="136"/>
      <c r="K17" s="54"/>
    </row>
    <row r="18" spans="1:14" ht="21.75">
      <c r="C18" s="10"/>
      <c r="D18" s="136"/>
      <c r="E18" s="136"/>
      <c r="F18" s="136"/>
      <c r="G18" s="136"/>
      <c r="H18" s="136"/>
      <c r="I18" s="136"/>
      <c r="J18" s="136"/>
      <c r="K18" s="54"/>
    </row>
    <row r="19" spans="1:14" ht="21.75">
      <c r="C19" s="10"/>
      <c r="D19" s="136"/>
      <c r="E19" s="136"/>
      <c r="F19" s="136"/>
      <c r="G19" s="136"/>
      <c r="H19" s="136"/>
      <c r="I19" s="136"/>
      <c r="J19" s="136"/>
      <c r="K19" s="54"/>
    </row>
    <row r="20" spans="1:14" ht="21.75">
      <c r="C20" s="10"/>
      <c r="D20" s="136"/>
      <c r="E20" s="136"/>
      <c r="F20" s="136"/>
      <c r="G20" s="136"/>
      <c r="H20" s="136"/>
      <c r="I20" s="136"/>
      <c r="J20" s="136"/>
      <c r="K20" s="54"/>
    </row>
    <row r="21" spans="1:14" ht="21.75">
      <c r="C21" s="10"/>
      <c r="D21" s="136"/>
      <c r="E21" s="136"/>
      <c r="F21" s="136"/>
      <c r="G21" s="136"/>
      <c r="H21" s="136"/>
      <c r="I21" s="136"/>
      <c r="J21" s="136"/>
      <c r="K21" s="54"/>
    </row>
    <row r="22" spans="1:14" ht="21.75">
      <c r="C22" s="4"/>
      <c r="D22" s="50"/>
      <c r="E22" s="54"/>
      <c r="F22" s="54"/>
      <c r="G22" s="54"/>
      <c r="H22" s="54"/>
      <c r="I22" s="54"/>
      <c r="J22" s="54"/>
      <c r="K22" s="54"/>
    </row>
    <row r="23" spans="1:14" ht="21.75">
      <c r="C23" s="4"/>
      <c r="D23" s="50"/>
      <c r="E23" s="54"/>
      <c r="F23" s="54"/>
      <c r="G23" s="54"/>
      <c r="H23" s="54"/>
      <c r="I23" s="54"/>
      <c r="J23" s="54"/>
      <c r="K23" s="54"/>
    </row>
    <row r="24" spans="1:14">
      <c r="A24" s="7" t="s">
        <v>53</v>
      </c>
      <c r="N24" s="7" t="s">
        <v>53</v>
      </c>
    </row>
  </sheetData>
  <mergeCells count="1">
    <mergeCell ref="D4:J21"/>
  </mergeCells>
  <hyperlinks>
    <hyperlink ref="B2" location="Indice!A1" display="Regreso al índice" xr:uid="{8EA13618-FEA4-4A91-9109-A3853DAA1D90}"/>
  </hyperlinks>
  <pageMargins left="0.7" right="0.7" top="0.75" bottom="0.75" header="0.3" footer="0.3"/>
  <pageSetup scale="4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D238C-D7ED-49E0-9C15-793B7C9DA982}">
  <dimension ref="A1:N44"/>
  <sheetViews>
    <sheetView showGridLines="0" view="pageBreakPreview" zoomScale="70" zoomScaleNormal="100" zoomScaleSheetLayoutView="70" workbookViewId="0"/>
  </sheetViews>
  <sheetFormatPr baseColWidth="10" defaultColWidth="9.1640625" defaultRowHeight="15.75"/>
  <cols>
    <col min="1" max="2" width="1.6640625" style="8" customWidth="1"/>
    <col min="3" max="3" width="8.6640625" style="8" customWidth="1"/>
    <col min="4" max="4" width="51.6640625" style="8" customWidth="1"/>
    <col min="5" max="5" width="32.33203125" style="53" customWidth="1"/>
    <col min="6" max="6" width="16.6640625" style="53" customWidth="1"/>
    <col min="7" max="8" width="25.6640625" style="53" customWidth="1"/>
    <col min="9" max="9" width="27.6640625" style="53" customWidth="1"/>
    <col min="10" max="10" width="30.83203125" style="53" customWidth="1"/>
    <col min="11" max="11" width="16.6640625" style="53" customWidth="1"/>
    <col min="12" max="12" width="9.1640625" style="8"/>
    <col min="13" max="14" width="1.6640625" style="8" customWidth="1"/>
    <col min="15" max="16384" width="9.1640625" style="8"/>
  </cols>
  <sheetData>
    <row r="1" spans="1:14">
      <c r="A1" s="7" t="s">
        <v>53</v>
      </c>
      <c r="N1" s="7" t="s">
        <v>53</v>
      </c>
    </row>
    <row r="2" spans="1:14" ht="15" customHeight="1">
      <c r="B2" s="57" t="s">
        <v>112</v>
      </c>
    </row>
    <row r="3" spans="1:14" ht="15" customHeight="1"/>
    <row r="4" spans="1:14" ht="43.5">
      <c r="C4" s="6"/>
      <c r="D4" s="13" t="s">
        <v>80</v>
      </c>
      <c r="E4" s="14" t="s">
        <v>98</v>
      </c>
      <c r="F4" s="14" t="s">
        <v>54</v>
      </c>
      <c r="G4" s="14" t="s">
        <v>55</v>
      </c>
      <c r="H4" s="14" t="s">
        <v>204</v>
      </c>
      <c r="I4" s="14" t="s">
        <v>161</v>
      </c>
      <c r="J4" s="14" t="s">
        <v>160</v>
      </c>
      <c r="K4" s="14" t="s">
        <v>56</v>
      </c>
    </row>
    <row r="5" spans="1:14" ht="11.25" customHeight="1">
      <c r="C5" s="6"/>
      <c r="D5" s="12"/>
      <c r="E5" s="11"/>
      <c r="F5" s="11"/>
      <c r="G5" s="11"/>
      <c r="H5" s="11"/>
      <c r="I5" s="11"/>
      <c r="J5" s="11"/>
      <c r="K5" s="11"/>
    </row>
    <row r="6" spans="1:14" ht="21.75">
      <c r="C6" s="10">
        <v>1</v>
      </c>
      <c r="D6" s="50" t="s">
        <v>79</v>
      </c>
      <c r="E6" s="54" t="s">
        <v>157</v>
      </c>
      <c r="F6" s="54">
        <v>35</v>
      </c>
      <c r="G6" s="54" t="s">
        <v>81</v>
      </c>
      <c r="H6" s="54" t="s">
        <v>81</v>
      </c>
      <c r="I6" s="54" t="s">
        <v>82</v>
      </c>
      <c r="J6" s="54" t="s">
        <v>159</v>
      </c>
      <c r="K6" s="54">
        <v>22707</v>
      </c>
    </row>
    <row r="7" spans="1:14" ht="21.75">
      <c r="C7" s="10">
        <f>+C6+1</f>
        <v>2</v>
      </c>
      <c r="D7" s="50" t="s">
        <v>57</v>
      </c>
      <c r="E7" s="54" t="s">
        <v>78</v>
      </c>
      <c r="F7" s="54">
        <v>5</v>
      </c>
      <c r="G7" s="54" t="s">
        <v>99</v>
      </c>
      <c r="H7" s="54" t="s">
        <v>205</v>
      </c>
      <c r="I7" s="54" t="s">
        <v>82</v>
      </c>
      <c r="J7" s="54" t="s">
        <v>159</v>
      </c>
      <c r="K7" s="54">
        <v>34907</v>
      </c>
    </row>
    <row r="8" spans="1:14" ht="21.75">
      <c r="C8" s="10">
        <f>+C7+1</f>
        <v>3</v>
      </c>
      <c r="D8" s="50" t="s">
        <v>163</v>
      </c>
      <c r="E8" s="54" t="s">
        <v>158</v>
      </c>
      <c r="F8" s="54">
        <v>1</v>
      </c>
      <c r="G8" s="54" t="s">
        <v>99</v>
      </c>
      <c r="H8" s="54" t="s">
        <v>205</v>
      </c>
      <c r="I8" s="54" t="s">
        <v>82</v>
      </c>
      <c r="J8" s="54" t="s">
        <v>159</v>
      </c>
      <c r="K8" s="54">
        <v>17788</v>
      </c>
    </row>
    <row r="9" spans="1:14" ht="21.75">
      <c r="C9" s="10">
        <f t="shared" ref="C9:C39" si="0">+C8+1</f>
        <v>4</v>
      </c>
      <c r="D9" s="50" t="s">
        <v>164</v>
      </c>
      <c r="E9" s="54" t="s">
        <v>158</v>
      </c>
      <c r="F9" s="54">
        <v>1</v>
      </c>
      <c r="G9" s="54" t="s">
        <v>167</v>
      </c>
      <c r="H9" s="54" t="s">
        <v>205</v>
      </c>
      <c r="I9" s="54" t="s">
        <v>82</v>
      </c>
      <c r="J9" s="54" t="s">
        <v>159</v>
      </c>
      <c r="K9" s="54">
        <v>9564</v>
      </c>
    </row>
    <row r="10" spans="1:14" ht="21.75">
      <c r="C10" s="10">
        <f t="shared" si="0"/>
        <v>5</v>
      </c>
      <c r="D10" s="50" t="s">
        <v>165</v>
      </c>
      <c r="E10" s="54" t="s">
        <v>158</v>
      </c>
      <c r="F10" s="54">
        <v>1</v>
      </c>
      <c r="G10" s="54" t="s">
        <v>99</v>
      </c>
      <c r="H10" s="54" t="s">
        <v>205</v>
      </c>
      <c r="I10" s="54" t="s">
        <v>82</v>
      </c>
      <c r="J10" s="54" t="s">
        <v>159</v>
      </c>
      <c r="K10" s="54">
        <v>4312</v>
      </c>
    </row>
    <row r="11" spans="1:14" ht="21.75">
      <c r="C11" s="10">
        <f t="shared" si="0"/>
        <v>6</v>
      </c>
      <c r="D11" s="50" t="s">
        <v>166</v>
      </c>
      <c r="E11" s="54" t="s">
        <v>158</v>
      </c>
      <c r="F11" s="54">
        <v>1</v>
      </c>
      <c r="G11" s="54" t="s">
        <v>97</v>
      </c>
      <c r="H11" s="54" t="s">
        <v>206</v>
      </c>
      <c r="I11" s="54" t="s">
        <v>82</v>
      </c>
      <c r="J11" s="54" t="s">
        <v>159</v>
      </c>
      <c r="K11" s="54">
        <v>30000</v>
      </c>
    </row>
    <row r="12" spans="1:14" ht="21.75">
      <c r="C12" s="10">
        <f t="shared" si="0"/>
        <v>7</v>
      </c>
      <c r="D12" s="50" t="s">
        <v>58</v>
      </c>
      <c r="E12" s="54" t="s">
        <v>158</v>
      </c>
      <c r="F12" s="54">
        <v>1</v>
      </c>
      <c r="G12" s="54" t="s">
        <v>100</v>
      </c>
      <c r="H12" s="54" t="s">
        <v>205</v>
      </c>
      <c r="I12" s="54" t="s">
        <v>82</v>
      </c>
      <c r="J12" s="54" t="s">
        <v>159</v>
      </c>
      <c r="K12" s="54">
        <v>42000</v>
      </c>
    </row>
    <row r="13" spans="1:14" ht="21.75">
      <c r="C13" s="10">
        <f t="shared" si="0"/>
        <v>8</v>
      </c>
      <c r="D13" s="50" t="s">
        <v>59</v>
      </c>
      <c r="E13" s="54" t="s">
        <v>158</v>
      </c>
      <c r="F13" s="54">
        <v>1</v>
      </c>
      <c r="G13" s="54" t="s">
        <v>97</v>
      </c>
      <c r="H13" s="54" t="s">
        <v>206</v>
      </c>
      <c r="I13" s="54" t="s">
        <v>82</v>
      </c>
      <c r="J13" s="54" t="s">
        <v>159</v>
      </c>
      <c r="K13" s="54">
        <v>47825</v>
      </c>
    </row>
    <row r="14" spans="1:14" ht="21.75">
      <c r="C14" s="10">
        <f t="shared" si="0"/>
        <v>9</v>
      </c>
      <c r="D14" s="50" t="s">
        <v>168</v>
      </c>
      <c r="E14" s="54" t="s">
        <v>158</v>
      </c>
      <c r="F14" s="54">
        <v>1</v>
      </c>
      <c r="G14" s="54" t="s">
        <v>169</v>
      </c>
      <c r="H14" s="54" t="s">
        <v>206</v>
      </c>
      <c r="I14" s="54" t="s">
        <v>82</v>
      </c>
      <c r="J14" s="54" t="s">
        <v>159</v>
      </c>
      <c r="K14" s="54">
        <v>38300</v>
      </c>
    </row>
    <row r="15" spans="1:14" ht="21.75">
      <c r="C15" s="10">
        <f t="shared" si="0"/>
        <v>10</v>
      </c>
      <c r="D15" s="50" t="s">
        <v>170</v>
      </c>
      <c r="E15" s="54" t="s">
        <v>158</v>
      </c>
      <c r="F15" s="54">
        <v>1</v>
      </c>
      <c r="G15" s="54" t="s">
        <v>171</v>
      </c>
      <c r="H15" s="54" t="s">
        <v>207</v>
      </c>
      <c r="I15" s="54" t="s">
        <v>82</v>
      </c>
      <c r="J15" s="54" t="s">
        <v>159</v>
      </c>
      <c r="K15" s="54">
        <v>38000</v>
      </c>
    </row>
    <row r="16" spans="1:14" ht="21.75">
      <c r="C16" s="10">
        <f t="shared" si="0"/>
        <v>11</v>
      </c>
      <c r="D16" s="50" t="s">
        <v>60</v>
      </c>
      <c r="E16" s="54" t="s">
        <v>158</v>
      </c>
      <c r="F16" s="54">
        <v>1</v>
      </c>
      <c r="G16" s="54" t="s">
        <v>97</v>
      </c>
      <c r="H16" s="54" t="s">
        <v>206</v>
      </c>
      <c r="I16" s="54" t="s">
        <v>82</v>
      </c>
      <c r="J16" s="54" t="s">
        <v>159</v>
      </c>
      <c r="K16" s="54">
        <v>31514</v>
      </c>
    </row>
    <row r="17" spans="3:11" ht="21.75">
      <c r="C17" s="10">
        <f t="shared" si="0"/>
        <v>12</v>
      </c>
      <c r="D17" s="50" t="s">
        <v>61</v>
      </c>
      <c r="E17" s="54" t="s">
        <v>158</v>
      </c>
      <c r="F17" s="54">
        <v>1</v>
      </c>
      <c r="G17" s="54" t="s">
        <v>100</v>
      </c>
      <c r="H17" s="54" t="s">
        <v>205</v>
      </c>
      <c r="I17" s="54" t="s">
        <v>82</v>
      </c>
      <c r="J17" s="54" t="s">
        <v>159</v>
      </c>
      <c r="K17" s="54">
        <v>13443</v>
      </c>
    </row>
    <row r="18" spans="3:11" ht="21.75">
      <c r="C18" s="10">
        <f t="shared" si="0"/>
        <v>13</v>
      </c>
      <c r="D18" s="50" t="s">
        <v>62</v>
      </c>
      <c r="E18" s="54" t="s">
        <v>158</v>
      </c>
      <c r="F18" s="54">
        <v>1</v>
      </c>
      <c r="G18" s="54" t="s">
        <v>172</v>
      </c>
      <c r="H18" s="54" t="s">
        <v>206</v>
      </c>
      <c r="I18" s="54" t="s">
        <v>82</v>
      </c>
      <c r="J18" s="54" t="s">
        <v>159</v>
      </c>
      <c r="K18" s="54">
        <v>13440</v>
      </c>
    </row>
    <row r="19" spans="3:11" ht="21.75">
      <c r="C19" s="10">
        <f t="shared" si="0"/>
        <v>14</v>
      </c>
      <c r="D19" s="50" t="s">
        <v>63</v>
      </c>
      <c r="E19" s="54" t="s">
        <v>158</v>
      </c>
      <c r="F19" s="54">
        <v>1</v>
      </c>
      <c r="G19" s="54" t="s">
        <v>100</v>
      </c>
      <c r="H19" s="54" t="s">
        <v>205</v>
      </c>
      <c r="I19" s="54" t="s">
        <v>82</v>
      </c>
      <c r="J19" s="54" t="s">
        <v>159</v>
      </c>
      <c r="K19" s="54">
        <v>10402</v>
      </c>
    </row>
    <row r="20" spans="3:11" ht="21.75">
      <c r="C20" s="10">
        <f t="shared" si="0"/>
        <v>15</v>
      </c>
      <c r="D20" s="50" t="s">
        <v>173</v>
      </c>
      <c r="E20" s="54" t="s">
        <v>158</v>
      </c>
      <c r="F20" s="54">
        <v>1</v>
      </c>
      <c r="G20" s="54" t="s">
        <v>169</v>
      </c>
      <c r="H20" s="54" t="s">
        <v>206</v>
      </c>
      <c r="I20" s="54" t="s">
        <v>83</v>
      </c>
      <c r="J20" s="54" t="s">
        <v>177</v>
      </c>
      <c r="K20" s="54">
        <v>4460</v>
      </c>
    </row>
    <row r="21" spans="3:11" ht="21.75">
      <c r="C21" s="10">
        <f t="shared" si="0"/>
        <v>16</v>
      </c>
      <c r="D21" s="50" t="s">
        <v>174</v>
      </c>
      <c r="E21" s="54" t="s">
        <v>158</v>
      </c>
      <c r="F21" s="54">
        <v>1</v>
      </c>
      <c r="G21" s="54" t="s">
        <v>175</v>
      </c>
      <c r="H21" s="54" t="s">
        <v>208</v>
      </c>
      <c r="I21" s="54" t="s">
        <v>84</v>
      </c>
      <c r="J21" s="54" t="s">
        <v>184</v>
      </c>
      <c r="K21" s="54">
        <v>2932</v>
      </c>
    </row>
    <row r="22" spans="3:11" ht="21.75">
      <c r="C22" s="10">
        <f t="shared" si="0"/>
        <v>17</v>
      </c>
      <c r="D22" s="50" t="s">
        <v>64</v>
      </c>
      <c r="E22" s="54" t="s">
        <v>158</v>
      </c>
      <c r="F22" s="54">
        <v>1</v>
      </c>
      <c r="G22" s="54" t="s">
        <v>167</v>
      </c>
      <c r="H22" s="54" t="s">
        <v>205</v>
      </c>
      <c r="I22" s="54" t="s">
        <v>85</v>
      </c>
      <c r="J22" s="54" t="s">
        <v>176</v>
      </c>
      <c r="K22" s="54">
        <v>6375</v>
      </c>
    </row>
    <row r="23" spans="3:11" ht="21.75">
      <c r="C23" s="10">
        <f t="shared" si="0"/>
        <v>18</v>
      </c>
      <c r="D23" s="50" t="s">
        <v>178</v>
      </c>
      <c r="E23" s="54" t="s">
        <v>158</v>
      </c>
      <c r="F23" s="54">
        <v>1</v>
      </c>
      <c r="G23" s="54" t="s">
        <v>179</v>
      </c>
      <c r="H23" s="54" t="s">
        <v>207</v>
      </c>
      <c r="I23" s="54" t="s">
        <v>86</v>
      </c>
      <c r="J23" s="54" t="s">
        <v>180</v>
      </c>
      <c r="K23" s="54">
        <v>41911</v>
      </c>
    </row>
    <row r="24" spans="3:11" ht="21.75">
      <c r="C24" s="10">
        <f t="shared" si="0"/>
        <v>19</v>
      </c>
      <c r="D24" s="50" t="s">
        <v>65</v>
      </c>
      <c r="E24" s="54" t="s">
        <v>158</v>
      </c>
      <c r="F24" s="54">
        <v>1</v>
      </c>
      <c r="G24" s="54" t="s">
        <v>182</v>
      </c>
      <c r="H24" s="54" t="s">
        <v>208</v>
      </c>
      <c r="I24" s="54" t="s">
        <v>87</v>
      </c>
      <c r="J24" s="54" t="s">
        <v>181</v>
      </c>
      <c r="K24" s="54">
        <v>11761</v>
      </c>
    </row>
    <row r="25" spans="3:11" ht="21.75">
      <c r="C25" s="10">
        <f t="shared" si="0"/>
        <v>20</v>
      </c>
      <c r="D25" s="50" t="s">
        <v>66</v>
      </c>
      <c r="E25" s="54" t="s">
        <v>158</v>
      </c>
      <c r="F25" s="54">
        <v>1</v>
      </c>
      <c r="G25" s="54" t="s">
        <v>182</v>
      </c>
      <c r="H25" s="54" t="s">
        <v>208</v>
      </c>
      <c r="I25" s="54" t="s">
        <v>88</v>
      </c>
      <c r="J25" s="54" t="s">
        <v>183</v>
      </c>
      <c r="K25" s="54">
        <v>6230</v>
      </c>
    </row>
    <row r="26" spans="3:11" ht="21.75">
      <c r="C26" s="10">
        <f t="shared" si="0"/>
        <v>21</v>
      </c>
      <c r="D26" s="50" t="s">
        <v>185</v>
      </c>
      <c r="E26" s="54" t="s">
        <v>158</v>
      </c>
      <c r="F26" s="54">
        <v>1</v>
      </c>
      <c r="G26" s="54" t="s">
        <v>167</v>
      </c>
      <c r="H26" s="54" t="s">
        <v>205</v>
      </c>
      <c r="I26" s="54" t="s">
        <v>89</v>
      </c>
      <c r="J26" s="54" t="s">
        <v>186</v>
      </c>
      <c r="K26" s="54">
        <v>22923</v>
      </c>
    </row>
    <row r="27" spans="3:11" ht="21.75">
      <c r="C27" s="10">
        <f t="shared" si="0"/>
        <v>22</v>
      </c>
      <c r="D27" s="50" t="s">
        <v>67</v>
      </c>
      <c r="E27" s="54" t="s">
        <v>158</v>
      </c>
      <c r="F27" s="54">
        <v>1</v>
      </c>
      <c r="G27" s="54" t="s">
        <v>95</v>
      </c>
      <c r="H27" s="54" t="s">
        <v>208</v>
      </c>
      <c r="I27" s="54" t="s">
        <v>90</v>
      </c>
      <c r="J27" s="54" t="s">
        <v>190</v>
      </c>
      <c r="K27" s="54">
        <v>3336</v>
      </c>
    </row>
    <row r="28" spans="3:11" ht="21.75">
      <c r="C28" s="10">
        <f t="shared" si="0"/>
        <v>23</v>
      </c>
      <c r="D28" s="50" t="s">
        <v>68</v>
      </c>
      <c r="E28" s="54" t="s">
        <v>158</v>
      </c>
      <c r="F28" s="54">
        <v>1</v>
      </c>
      <c r="G28" s="54" t="s">
        <v>187</v>
      </c>
      <c r="H28" s="54" t="s">
        <v>208</v>
      </c>
      <c r="I28" s="54" t="s">
        <v>90</v>
      </c>
      <c r="J28" s="54" t="s">
        <v>190</v>
      </c>
      <c r="K28" s="54">
        <v>3451</v>
      </c>
    </row>
    <row r="29" spans="3:11" ht="21.75">
      <c r="C29" s="10">
        <f t="shared" si="0"/>
        <v>24</v>
      </c>
      <c r="D29" s="50" t="s">
        <v>69</v>
      </c>
      <c r="E29" s="54" t="s">
        <v>158</v>
      </c>
      <c r="F29" s="54">
        <v>1</v>
      </c>
      <c r="G29" s="54" t="s">
        <v>188</v>
      </c>
      <c r="H29" s="54" t="s">
        <v>208</v>
      </c>
      <c r="I29" s="54" t="s">
        <v>91</v>
      </c>
      <c r="J29" s="54" t="s">
        <v>191</v>
      </c>
      <c r="K29" s="54">
        <v>6516</v>
      </c>
    </row>
    <row r="30" spans="3:11" ht="21.75">
      <c r="C30" s="10">
        <f t="shared" si="0"/>
        <v>25</v>
      </c>
      <c r="D30" s="50" t="s">
        <v>70</v>
      </c>
      <c r="E30" s="54" t="s">
        <v>158</v>
      </c>
      <c r="F30" s="54">
        <v>1</v>
      </c>
      <c r="G30" s="54" t="s">
        <v>189</v>
      </c>
      <c r="H30" s="54" t="s">
        <v>208</v>
      </c>
      <c r="I30" s="54" t="s">
        <v>92</v>
      </c>
      <c r="J30" s="54" t="s">
        <v>192</v>
      </c>
      <c r="K30" s="54">
        <v>3260</v>
      </c>
    </row>
    <row r="31" spans="3:11" ht="21.75">
      <c r="C31" s="10">
        <f t="shared" si="0"/>
        <v>26</v>
      </c>
      <c r="D31" s="50" t="s">
        <v>162</v>
      </c>
      <c r="E31" s="54" t="s">
        <v>158</v>
      </c>
      <c r="F31" s="54">
        <v>1</v>
      </c>
      <c r="G31" s="54" t="s">
        <v>193</v>
      </c>
      <c r="H31" s="54" t="s">
        <v>206</v>
      </c>
      <c r="I31" s="54" t="s">
        <v>93</v>
      </c>
      <c r="J31" s="54" t="s">
        <v>195</v>
      </c>
      <c r="K31" s="54">
        <v>67167</v>
      </c>
    </row>
    <row r="32" spans="3:11" ht="21.75">
      <c r="C32" s="10">
        <f t="shared" si="0"/>
        <v>27</v>
      </c>
      <c r="D32" s="50" t="s">
        <v>71</v>
      </c>
      <c r="E32" s="54" t="s">
        <v>158</v>
      </c>
      <c r="F32" s="54">
        <v>1</v>
      </c>
      <c r="G32" s="54" t="s">
        <v>169</v>
      </c>
      <c r="H32" s="54" t="s">
        <v>206</v>
      </c>
      <c r="I32" s="54" t="s">
        <v>94</v>
      </c>
      <c r="J32" s="54" t="s">
        <v>196</v>
      </c>
      <c r="K32" s="54">
        <v>6159</v>
      </c>
    </row>
    <row r="33" spans="1:14" ht="21.75">
      <c r="C33" s="10">
        <f t="shared" si="0"/>
        <v>28</v>
      </c>
      <c r="D33" s="50" t="s">
        <v>72</v>
      </c>
      <c r="E33" s="54" t="s">
        <v>158</v>
      </c>
      <c r="F33" s="54">
        <v>1</v>
      </c>
      <c r="G33" s="54" t="s">
        <v>194</v>
      </c>
      <c r="H33" s="54" t="s">
        <v>207</v>
      </c>
      <c r="I33" s="54" t="s">
        <v>199</v>
      </c>
      <c r="J33" s="54" t="s">
        <v>200</v>
      </c>
      <c r="K33" s="54">
        <v>2255.4299999999998</v>
      </c>
    </row>
    <row r="34" spans="1:14" ht="21.75">
      <c r="C34" s="10">
        <f t="shared" si="0"/>
        <v>29</v>
      </c>
      <c r="D34" s="50" t="s">
        <v>73</v>
      </c>
      <c r="E34" s="54" t="s">
        <v>158</v>
      </c>
      <c r="F34" s="54">
        <v>1</v>
      </c>
      <c r="G34" s="54" t="s">
        <v>167</v>
      </c>
      <c r="H34" s="54" t="s">
        <v>205</v>
      </c>
      <c r="I34" s="54" t="s">
        <v>198</v>
      </c>
      <c r="J34" s="54" t="s">
        <v>201</v>
      </c>
      <c r="K34" s="54">
        <v>2346</v>
      </c>
    </row>
    <row r="35" spans="1:14" ht="21.75">
      <c r="C35" s="10">
        <f t="shared" si="0"/>
        <v>30</v>
      </c>
      <c r="D35" s="50" t="s">
        <v>74</v>
      </c>
      <c r="E35" s="54" t="s">
        <v>158</v>
      </c>
      <c r="F35" s="54">
        <v>1</v>
      </c>
      <c r="G35" s="54" t="s">
        <v>167</v>
      </c>
      <c r="H35" s="54" t="s">
        <v>205</v>
      </c>
      <c r="I35" s="54" t="s">
        <v>197</v>
      </c>
      <c r="J35" s="54" t="s">
        <v>202</v>
      </c>
      <c r="K35" s="54">
        <f>3487+2728+7206</f>
        <v>13421</v>
      </c>
    </row>
    <row r="36" spans="1:14" ht="21.75">
      <c r="C36" s="10">
        <f t="shared" si="0"/>
        <v>31</v>
      </c>
      <c r="D36" s="50" t="s">
        <v>75</v>
      </c>
      <c r="E36" s="54" t="s">
        <v>158</v>
      </c>
      <c r="F36" s="54">
        <v>1</v>
      </c>
      <c r="G36" s="54" t="s">
        <v>175</v>
      </c>
      <c r="H36" s="54" t="s">
        <v>208</v>
      </c>
      <c r="I36" s="54" t="s">
        <v>197</v>
      </c>
      <c r="J36" s="54" t="s">
        <v>202</v>
      </c>
      <c r="K36" s="54">
        <f>2094+912</f>
        <v>3006</v>
      </c>
    </row>
    <row r="37" spans="1:14" ht="21.75">
      <c r="C37" s="10">
        <f t="shared" si="0"/>
        <v>32</v>
      </c>
      <c r="D37" s="50" t="s">
        <v>203</v>
      </c>
      <c r="E37" s="54" t="s">
        <v>158</v>
      </c>
      <c r="F37" s="54">
        <v>1</v>
      </c>
      <c r="G37" s="54" t="s">
        <v>167</v>
      </c>
      <c r="H37" s="54" t="s">
        <v>205</v>
      </c>
      <c r="I37" s="54" t="s">
        <v>197</v>
      </c>
      <c r="J37" s="54" t="s">
        <v>202</v>
      </c>
      <c r="K37" s="54">
        <v>4837</v>
      </c>
    </row>
    <row r="38" spans="1:14" ht="21.75">
      <c r="C38" s="10">
        <f t="shared" si="0"/>
        <v>33</v>
      </c>
      <c r="D38" s="50" t="s">
        <v>76</v>
      </c>
      <c r="E38" s="54" t="s">
        <v>158</v>
      </c>
      <c r="F38" s="54">
        <v>1</v>
      </c>
      <c r="G38" s="54" t="s">
        <v>95</v>
      </c>
      <c r="H38" s="54" t="s">
        <v>208</v>
      </c>
      <c r="I38" s="54" t="s">
        <v>197</v>
      </c>
      <c r="J38" s="54" t="s">
        <v>202</v>
      </c>
      <c r="K38" s="54">
        <v>14252</v>
      </c>
    </row>
    <row r="39" spans="1:14" ht="21.75">
      <c r="C39" s="10">
        <f t="shared" si="0"/>
        <v>34</v>
      </c>
      <c r="D39" s="50" t="s">
        <v>77</v>
      </c>
      <c r="E39" s="54" t="s">
        <v>158</v>
      </c>
      <c r="F39" s="54">
        <v>1</v>
      </c>
      <c r="G39" s="54" t="s">
        <v>95</v>
      </c>
      <c r="H39" s="54" t="s">
        <v>208</v>
      </c>
      <c r="I39" s="54" t="s">
        <v>197</v>
      </c>
      <c r="J39" s="54" t="s">
        <v>202</v>
      </c>
      <c r="K39" s="54">
        <v>9605</v>
      </c>
    </row>
    <row r="41" spans="1:14" s="51" customFormat="1" ht="21.75">
      <c r="C41" s="10"/>
      <c r="D41" s="52"/>
      <c r="E41" s="55" t="s">
        <v>96</v>
      </c>
      <c r="F41" s="55">
        <f>+SUM(F6:F39)</f>
        <v>72</v>
      </c>
      <c r="G41" s="55"/>
      <c r="H41" s="55"/>
      <c r="I41" s="55"/>
      <c r="J41" s="55"/>
      <c r="K41" s="55">
        <f>SUM(K6:K39)</f>
        <v>590405.43000000005</v>
      </c>
    </row>
    <row r="42" spans="1:14" ht="21.75">
      <c r="C42" s="4"/>
      <c r="D42" s="50"/>
      <c r="E42" s="54"/>
      <c r="F42" s="54"/>
      <c r="G42" s="54"/>
      <c r="H42" s="54"/>
      <c r="I42" s="54"/>
      <c r="J42" s="54"/>
      <c r="K42" s="54"/>
    </row>
    <row r="43" spans="1:14" ht="21.75">
      <c r="C43" s="4"/>
      <c r="D43" s="50"/>
      <c r="E43" s="54"/>
      <c r="F43" s="54"/>
      <c r="G43" s="54"/>
      <c r="H43" s="54"/>
      <c r="I43" s="54"/>
      <c r="J43" s="54"/>
      <c r="K43" s="54"/>
    </row>
    <row r="44" spans="1:14">
      <c r="A44" s="7" t="s">
        <v>53</v>
      </c>
      <c r="N44" s="7" t="s">
        <v>53</v>
      </c>
    </row>
  </sheetData>
  <hyperlinks>
    <hyperlink ref="B2" location="Indice!A1" display="Regreso al índice" xr:uid="{5844F3D5-237F-42F3-8C4D-951626A55427}"/>
  </hyperlinks>
  <pageMargins left="0.7" right="0.7" top="0.75" bottom="0.75" header="0.3" footer="0.3"/>
  <pageSetup scale="4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CFD5B-39BD-4F56-8941-BA894E3344AA}">
  <dimension ref="A1:P61"/>
  <sheetViews>
    <sheetView showGridLines="0" view="pageBreakPreview" zoomScale="70" zoomScaleNormal="100" zoomScaleSheetLayoutView="70" workbookViewId="0"/>
  </sheetViews>
  <sheetFormatPr baseColWidth="10" defaultColWidth="11.33203125" defaultRowHeight="23.25"/>
  <cols>
    <col min="1" max="2" width="1.6640625" style="32" customWidth="1"/>
    <col min="3" max="3" width="8.6640625" style="32" customWidth="1"/>
    <col min="4" max="4" width="80.6640625" style="32" customWidth="1"/>
    <col min="5" max="5" width="18.6640625" style="32" customWidth="1"/>
    <col min="6" max="6" width="11.33203125" style="32" customWidth="1"/>
    <col min="7" max="7" width="35.1640625" style="32" customWidth="1"/>
    <col min="8" max="8" width="11.33203125" style="32" customWidth="1"/>
    <col min="9" max="9" width="24.33203125" style="32" customWidth="1"/>
    <col min="10" max="10" width="18.6640625" style="32" hidden="1" customWidth="1"/>
    <col min="11" max="11" width="11.33203125" style="32"/>
    <col min="12" max="13" width="1.6640625" style="32" customWidth="1"/>
    <col min="14" max="15" width="11.33203125" style="32"/>
    <col min="16" max="16" width="33.83203125" style="32" bestFit="1" customWidth="1"/>
    <col min="17" max="16384" width="11.33203125" style="32"/>
  </cols>
  <sheetData>
    <row r="1" spans="1:16" ht="15.75" customHeight="1">
      <c r="A1" s="31" t="s">
        <v>53</v>
      </c>
      <c r="M1" s="31" t="s">
        <v>53</v>
      </c>
    </row>
    <row r="2" spans="1:16" ht="15" customHeight="1">
      <c r="B2" s="57" t="s">
        <v>112</v>
      </c>
    </row>
    <row r="3" spans="1:16" ht="15" customHeight="1">
      <c r="D3" s="33"/>
      <c r="E3" s="33"/>
      <c r="F3" s="33"/>
      <c r="G3" s="33"/>
      <c r="H3" s="33"/>
      <c r="I3" s="33"/>
      <c r="J3" s="33"/>
    </row>
    <row r="4" spans="1:16" s="99" customFormat="1" ht="43.5">
      <c r="D4" s="100"/>
      <c r="E4" s="14" t="s">
        <v>231</v>
      </c>
      <c r="F4" s="14"/>
      <c r="G4" s="14" t="s">
        <v>232</v>
      </c>
      <c r="H4" s="14"/>
      <c r="I4" s="14" t="s">
        <v>233</v>
      </c>
      <c r="J4" s="101"/>
    </row>
    <row r="5" spans="1:16" s="99" customFormat="1" ht="21.75">
      <c r="D5" s="100"/>
      <c r="E5" s="118" t="s">
        <v>225</v>
      </c>
      <c r="F5" s="118"/>
      <c r="G5" s="118"/>
      <c r="H5" s="118"/>
      <c r="I5" s="118" t="s">
        <v>262</v>
      </c>
      <c r="J5" s="101"/>
    </row>
    <row r="6" spans="1:16" s="99" customFormat="1" ht="24.75" customHeight="1">
      <c r="D6" s="111">
        <v>2018</v>
      </c>
      <c r="E6" s="112"/>
      <c r="F6" s="112"/>
      <c r="G6" s="112"/>
      <c r="H6" s="112"/>
      <c r="I6" s="112"/>
      <c r="J6" s="101"/>
    </row>
    <row r="7" spans="1:16" s="99" customFormat="1" ht="24.75" customHeight="1">
      <c r="D7" s="50" t="s">
        <v>260</v>
      </c>
      <c r="E7" s="115">
        <v>0.48449500000000001</v>
      </c>
      <c r="F7" s="102"/>
      <c r="G7" s="54" t="s">
        <v>234</v>
      </c>
      <c r="H7" s="103"/>
      <c r="I7" s="54">
        <v>594538</v>
      </c>
      <c r="J7" s="106"/>
      <c r="P7" s="113"/>
    </row>
    <row r="8" spans="1:16" s="99" customFormat="1" ht="24.75" customHeight="1">
      <c r="D8" s="50" t="s">
        <v>230</v>
      </c>
      <c r="E8" s="115">
        <v>0.481653</v>
      </c>
      <c r="F8" s="102"/>
      <c r="G8" s="54" t="s">
        <v>235</v>
      </c>
      <c r="H8" s="103"/>
      <c r="I8" s="54">
        <v>591108</v>
      </c>
      <c r="J8" s="106"/>
      <c r="P8" s="113"/>
    </row>
    <row r="9" spans="1:16" s="99" customFormat="1" ht="17.25" customHeight="1">
      <c r="D9" s="50"/>
      <c r="E9" s="116"/>
      <c r="F9" s="102"/>
      <c r="G9" s="113"/>
      <c r="H9" s="103"/>
      <c r="I9" s="104"/>
      <c r="J9" s="110"/>
      <c r="P9" s="113"/>
    </row>
    <row r="10" spans="1:16" s="99" customFormat="1" ht="24.75" customHeight="1">
      <c r="D10" s="111">
        <v>2019</v>
      </c>
      <c r="E10" s="117"/>
      <c r="F10" s="112"/>
      <c r="G10" s="114"/>
      <c r="H10" s="112"/>
      <c r="I10" s="112"/>
      <c r="J10" s="101"/>
      <c r="P10" s="114"/>
    </row>
    <row r="11" spans="1:16" s="99" customFormat="1" ht="24.75" customHeight="1">
      <c r="D11" s="50" t="s">
        <v>226</v>
      </c>
      <c r="E11" s="115">
        <v>0.487512</v>
      </c>
      <c r="F11" s="102"/>
      <c r="G11" s="54" t="s">
        <v>237</v>
      </c>
      <c r="H11" s="103"/>
      <c r="I11" s="54">
        <v>598305</v>
      </c>
      <c r="J11" s="105"/>
      <c r="P11" s="113"/>
    </row>
    <row r="12" spans="1:16" s="99" customFormat="1" ht="24.75" customHeight="1">
      <c r="D12" s="50" t="s">
        <v>227</v>
      </c>
      <c r="E12" s="115">
        <v>0.49111900000000003</v>
      </c>
      <c r="F12" s="102"/>
      <c r="G12" s="54" t="s">
        <v>238</v>
      </c>
      <c r="H12" s="103"/>
      <c r="I12" s="54">
        <v>602743</v>
      </c>
      <c r="J12" s="106"/>
      <c r="P12" s="113"/>
    </row>
    <row r="13" spans="1:16" s="99" customFormat="1" ht="24.75" customHeight="1">
      <c r="D13" s="50" t="s">
        <v>228</v>
      </c>
      <c r="E13" s="115">
        <v>0.50911600000000001</v>
      </c>
      <c r="F13" s="102"/>
      <c r="G13" s="54" t="s">
        <v>239</v>
      </c>
      <c r="H13" s="103"/>
      <c r="I13" s="54">
        <v>624838</v>
      </c>
      <c r="P13" s="113"/>
    </row>
    <row r="14" spans="1:16" s="99" customFormat="1" ht="24.75" customHeight="1">
      <c r="D14" s="50" t="s">
        <v>229</v>
      </c>
      <c r="E14" s="115">
        <v>0.534968</v>
      </c>
      <c r="F14" s="102"/>
      <c r="G14" s="54" t="s">
        <v>236</v>
      </c>
      <c r="H14" s="103"/>
      <c r="I14" s="54">
        <v>656573</v>
      </c>
      <c r="P14" s="113"/>
    </row>
    <row r="15" spans="1:16" s="99" customFormat="1" ht="17.25" customHeight="1">
      <c r="A15" s="107"/>
      <c r="D15" s="100"/>
      <c r="E15" s="116"/>
      <c r="F15" s="102"/>
      <c r="G15" s="113"/>
      <c r="H15" s="103"/>
      <c r="I15" s="104"/>
      <c r="M15" s="107"/>
      <c r="P15" s="113"/>
    </row>
    <row r="16" spans="1:16" s="99" customFormat="1" ht="24.75" customHeight="1">
      <c r="D16" s="111">
        <v>2020</v>
      </c>
      <c r="E16" s="117"/>
      <c r="F16" s="112"/>
      <c r="G16" s="114"/>
      <c r="H16" s="112"/>
      <c r="I16" s="112"/>
      <c r="J16" s="101"/>
      <c r="P16" s="114"/>
    </row>
    <row r="17" spans="4:16" s="99" customFormat="1" ht="24.75" customHeight="1">
      <c r="D17" s="50" t="s">
        <v>226</v>
      </c>
      <c r="E17" s="115">
        <v>0.51934899999999995</v>
      </c>
      <c r="F17" s="102"/>
      <c r="G17" s="54" t="s">
        <v>243</v>
      </c>
      <c r="H17" s="103"/>
      <c r="I17" s="54">
        <v>637411</v>
      </c>
      <c r="P17" s="113"/>
    </row>
    <row r="18" spans="4:16" s="99" customFormat="1" ht="24.75" customHeight="1">
      <c r="D18" s="50" t="s">
        <v>227</v>
      </c>
      <c r="E18" s="115">
        <v>0.51868800000000004</v>
      </c>
      <c r="F18" s="102"/>
      <c r="G18" s="54" t="s">
        <v>242</v>
      </c>
      <c r="H18" s="103"/>
      <c r="I18" s="54">
        <v>636619</v>
      </c>
      <c r="P18" s="113"/>
    </row>
    <row r="19" spans="4:16" s="99" customFormat="1" ht="24.75" customHeight="1">
      <c r="D19" s="50" t="s">
        <v>228</v>
      </c>
      <c r="E19" s="115">
        <v>0.55708899999999995</v>
      </c>
      <c r="F19" s="102"/>
      <c r="G19" s="54" t="s">
        <v>241</v>
      </c>
      <c r="H19" s="103"/>
      <c r="I19" s="54">
        <v>683757</v>
      </c>
      <c r="P19" s="113"/>
    </row>
    <row r="20" spans="4:16" s="99" customFormat="1" ht="24.75" customHeight="1">
      <c r="D20" s="50" t="s">
        <v>229</v>
      </c>
      <c r="E20" s="115">
        <v>0.55870900000000001</v>
      </c>
      <c r="F20" s="102"/>
      <c r="G20" s="54" t="s">
        <v>240</v>
      </c>
      <c r="H20" s="103"/>
      <c r="I20" s="54">
        <v>685767</v>
      </c>
      <c r="P20" s="113"/>
    </row>
    <row r="21" spans="4:16" s="99" customFormat="1" ht="17.25" customHeight="1">
      <c r="D21" s="100"/>
      <c r="E21" s="116"/>
      <c r="F21" s="102"/>
      <c r="G21" s="113"/>
      <c r="H21" s="103"/>
      <c r="I21" s="104"/>
      <c r="P21" s="113"/>
    </row>
    <row r="22" spans="4:16" s="99" customFormat="1" ht="24.75" customHeight="1">
      <c r="D22" s="111">
        <v>2021</v>
      </c>
      <c r="E22" s="117"/>
      <c r="F22" s="112"/>
      <c r="G22" s="114"/>
      <c r="H22" s="112"/>
      <c r="I22" s="112"/>
      <c r="J22" s="101"/>
      <c r="P22" s="114"/>
    </row>
    <row r="23" spans="4:16" s="99" customFormat="1" ht="24.75" customHeight="1">
      <c r="D23" s="50" t="s">
        <v>226</v>
      </c>
      <c r="E23" s="115">
        <v>0.55700300000000003</v>
      </c>
      <c r="F23" s="102"/>
      <c r="G23" s="54" t="s">
        <v>246</v>
      </c>
      <c r="H23" s="103"/>
      <c r="I23" s="54">
        <v>683678</v>
      </c>
      <c r="P23" s="113"/>
    </row>
    <row r="24" spans="4:16" s="99" customFormat="1" ht="24.75" customHeight="1">
      <c r="D24" s="50" t="s">
        <v>227</v>
      </c>
      <c r="E24" s="115">
        <v>0.55956499999999998</v>
      </c>
      <c r="F24" s="102"/>
      <c r="G24" s="54" t="s">
        <v>245</v>
      </c>
      <c r="H24" s="103"/>
      <c r="I24" s="54">
        <v>686827</v>
      </c>
      <c r="P24" s="113"/>
    </row>
    <row r="25" spans="4:16" s="99" customFormat="1" ht="24.75" customHeight="1">
      <c r="D25" s="50" t="s">
        <v>228</v>
      </c>
      <c r="E25" s="115">
        <v>0.57019299999999995</v>
      </c>
      <c r="F25" s="102"/>
      <c r="G25" s="54" t="s">
        <v>244</v>
      </c>
      <c r="H25" s="103"/>
      <c r="I25" s="54">
        <v>699876</v>
      </c>
      <c r="P25" s="113"/>
    </row>
    <row r="26" spans="4:16" s="99" customFormat="1" ht="24.75" customHeight="1">
      <c r="D26" s="50" t="s">
        <v>229</v>
      </c>
      <c r="E26" s="115">
        <v>0.57063799999999998</v>
      </c>
      <c r="F26" s="102"/>
      <c r="G26" s="54" t="s">
        <v>247</v>
      </c>
      <c r="H26" s="103"/>
      <c r="I26" s="54">
        <v>700436</v>
      </c>
      <c r="P26" s="113"/>
    </row>
    <row r="27" spans="4:16" s="99" customFormat="1" ht="17.25" customHeight="1">
      <c r="D27" s="100"/>
      <c r="E27" s="116"/>
      <c r="F27" s="102"/>
      <c r="G27" s="113"/>
      <c r="H27" s="103"/>
      <c r="I27" s="104"/>
      <c r="P27" s="113"/>
    </row>
    <row r="28" spans="4:16" s="99" customFormat="1" ht="24.75" customHeight="1">
      <c r="D28" s="111">
        <v>2022</v>
      </c>
      <c r="E28" s="117"/>
      <c r="F28" s="112"/>
      <c r="G28" s="114"/>
      <c r="H28" s="112"/>
      <c r="I28" s="112"/>
      <c r="J28" s="101"/>
      <c r="P28" s="114"/>
    </row>
    <row r="29" spans="4:16" s="99" customFormat="1" ht="24.75" customHeight="1">
      <c r="D29" s="50" t="s">
        <v>226</v>
      </c>
      <c r="E29" s="115">
        <v>0.57138900000000004</v>
      </c>
      <c r="F29" s="108"/>
      <c r="G29" s="54" t="s">
        <v>251</v>
      </c>
      <c r="H29" s="103"/>
      <c r="I29" s="54">
        <v>701362</v>
      </c>
      <c r="P29" s="113"/>
    </row>
    <row r="30" spans="4:16" s="99" customFormat="1" ht="24.75" customHeight="1">
      <c r="D30" s="50" t="s">
        <v>227</v>
      </c>
      <c r="E30" s="115">
        <v>0.57263799999999998</v>
      </c>
      <c r="F30" s="108"/>
      <c r="G30" s="54" t="s">
        <v>250</v>
      </c>
      <c r="H30" s="103"/>
      <c r="I30" s="54">
        <v>702897</v>
      </c>
      <c r="P30" s="113"/>
    </row>
    <row r="31" spans="4:16" s="99" customFormat="1" ht="24.75" customHeight="1">
      <c r="D31" s="50" t="s">
        <v>228</v>
      </c>
      <c r="E31" s="115">
        <v>0.57590399999999997</v>
      </c>
      <c r="F31" s="108"/>
      <c r="G31" s="54" t="s">
        <v>249</v>
      </c>
      <c r="H31" s="103"/>
      <c r="I31" s="54">
        <v>706909</v>
      </c>
      <c r="P31" s="113"/>
    </row>
    <row r="32" spans="4:16" s="99" customFormat="1" ht="24.75" customHeight="1">
      <c r="D32" s="50" t="s">
        <v>229</v>
      </c>
      <c r="E32" s="115">
        <v>0.562886</v>
      </c>
      <c r="F32" s="108"/>
      <c r="G32" s="54" t="s">
        <v>248</v>
      </c>
      <c r="H32" s="103"/>
      <c r="I32" s="54">
        <v>690945</v>
      </c>
      <c r="P32" s="113"/>
    </row>
    <row r="33" spans="4:16" s="99" customFormat="1" ht="17.25" customHeight="1">
      <c r="D33" s="100"/>
      <c r="E33" s="115"/>
      <c r="F33" s="108"/>
      <c r="G33" s="113"/>
      <c r="H33" s="103"/>
      <c r="I33" s="104"/>
      <c r="P33" s="113"/>
    </row>
    <row r="34" spans="4:16" s="99" customFormat="1" ht="24.75" customHeight="1">
      <c r="D34" s="111">
        <v>2023</v>
      </c>
      <c r="E34" s="117"/>
      <c r="F34" s="112"/>
      <c r="G34" s="114"/>
      <c r="H34" s="112"/>
      <c r="I34" s="112"/>
      <c r="J34" s="101"/>
      <c r="P34" s="114"/>
    </row>
    <row r="35" spans="4:16" s="99" customFormat="1" ht="24.75" customHeight="1">
      <c r="D35" s="50" t="s">
        <v>226</v>
      </c>
      <c r="E35" s="115">
        <v>0.57027499999999998</v>
      </c>
      <c r="F35" s="108"/>
      <c r="G35" s="54" t="s">
        <v>252</v>
      </c>
      <c r="H35" s="103"/>
      <c r="I35" s="54">
        <v>700019</v>
      </c>
      <c r="P35" s="113"/>
    </row>
    <row r="36" spans="4:16" s="99" customFormat="1" ht="24.75" customHeight="1">
      <c r="D36" s="50" t="s">
        <v>227</v>
      </c>
      <c r="E36" s="115">
        <v>0.57088899999999998</v>
      </c>
      <c r="F36" s="108"/>
      <c r="G36" s="54" t="s">
        <v>253</v>
      </c>
      <c r="H36" s="103"/>
      <c r="I36" s="54">
        <v>700783</v>
      </c>
      <c r="P36" s="113"/>
    </row>
    <row r="37" spans="4:16" s="99" customFormat="1" ht="24.75" customHeight="1">
      <c r="D37" s="50" t="s">
        <v>228</v>
      </c>
      <c r="E37" s="115">
        <v>0.59132799999999996</v>
      </c>
      <c r="F37" s="108"/>
      <c r="G37" s="54" t="s">
        <v>254</v>
      </c>
      <c r="H37" s="103"/>
      <c r="I37" s="54">
        <v>725878</v>
      </c>
      <c r="P37" s="113"/>
    </row>
    <row r="38" spans="4:16" s="99" customFormat="1" ht="24.75" customHeight="1">
      <c r="D38" s="50" t="s">
        <v>229</v>
      </c>
      <c r="E38" s="115">
        <v>0.57509999999999994</v>
      </c>
      <c r="F38" s="108"/>
      <c r="G38" s="54" t="s">
        <v>255</v>
      </c>
      <c r="H38" s="103"/>
      <c r="I38" s="54">
        <v>705990</v>
      </c>
      <c r="P38" s="113"/>
    </row>
    <row r="39" spans="4:16" s="99" customFormat="1" ht="17.25" customHeight="1">
      <c r="D39" s="100"/>
      <c r="E39" s="115"/>
      <c r="F39" s="108"/>
      <c r="G39" s="113"/>
      <c r="H39" s="103"/>
      <c r="I39" s="104"/>
      <c r="P39" s="113"/>
    </row>
    <row r="40" spans="4:16" s="99" customFormat="1" ht="24.75" customHeight="1">
      <c r="D40" s="111">
        <v>2024</v>
      </c>
      <c r="E40" s="117"/>
      <c r="F40" s="112"/>
      <c r="G40" s="114"/>
      <c r="H40" s="112"/>
      <c r="I40" s="112"/>
      <c r="J40" s="101"/>
      <c r="P40" s="114"/>
    </row>
    <row r="41" spans="4:16" s="99" customFormat="1" ht="24.75" customHeight="1">
      <c r="D41" s="50" t="s">
        <v>226</v>
      </c>
      <c r="E41" s="115">
        <v>0.59592199999999995</v>
      </c>
      <c r="F41" s="108"/>
      <c r="G41" s="54" t="s">
        <v>259</v>
      </c>
      <c r="H41" s="103"/>
      <c r="I41" s="54">
        <v>731557</v>
      </c>
      <c r="P41" s="113"/>
    </row>
    <row r="42" spans="4:16" s="99" customFormat="1" ht="24.75" customHeight="1">
      <c r="D42" s="50" t="s">
        <v>227</v>
      </c>
      <c r="E42" s="115">
        <v>0.59881200000000001</v>
      </c>
      <c r="F42" s="108"/>
      <c r="G42" s="54" t="s">
        <v>258</v>
      </c>
      <c r="H42" s="103"/>
      <c r="I42" s="54">
        <v>735110</v>
      </c>
      <c r="P42" s="113"/>
    </row>
    <row r="43" spans="4:16" s="99" customFormat="1" ht="24.75" customHeight="1">
      <c r="D43" s="50" t="s">
        <v>228</v>
      </c>
      <c r="E43" s="115">
        <v>0.61799499999999996</v>
      </c>
      <c r="F43" s="108"/>
      <c r="G43" s="54" t="s">
        <v>257</v>
      </c>
      <c r="H43" s="103"/>
      <c r="I43" s="54">
        <v>758666</v>
      </c>
      <c r="P43" s="113"/>
    </row>
    <row r="44" spans="4:16" s="99" customFormat="1" ht="24.75" customHeight="1">
      <c r="D44" s="50" t="s">
        <v>229</v>
      </c>
      <c r="E44" s="115">
        <v>0.63021700000000003</v>
      </c>
      <c r="F44" s="108"/>
      <c r="G44" s="54" t="s">
        <v>256</v>
      </c>
      <c r="H44" s="103"/>
      <c r="I44" s="54">
        <v>773678</v>
      </c>
      <c r="P44" s="113"/>
    </row>
    <row r="45" spans="4:16" s="99" customFormat="1" ht="21.75">
      <c r="D45" s="100"/>
      <c r="E45" s="108"/>
      <c r="F45" s="108"/>
      <c r="G45" s="103"/>
      <c r="H45" s="103"/>
      <c r="I45" s="109"/>
    </row>
    <row r="46" spans="4:16" s="99" customFormat="1" ht="21.75">
      <c r="D46" s="119" t="s">
        <v>218</v>
      </c>
      <c r="E46" s="108"/>
      <c r="F46" s="108"/>
      <c r="G46" s="103"/>
      <c r="H46" s="103"/>
      <c r="I46" s="109"/>
    </row>
    <row r="47" spans="4:16" s="99" customFormat="1" ht="21.75">
      <c r="D47" s="119" t="s">
        <v>261</v>
      </c>
      <c r="E47" s="4"/>
      <c r="F47" s="4"/>
      <c r="G47" s="4"/>
      <c r="H47" s="4"/>
      <c r="I47" s="4"/>
    </row>
    <row r="48" spans="4:16" s="99" customFormat="1" ht="21.75"/>
    <row r="49" spans="1:13" s="99" customFormat="1" ht="21.75">
      <c r="A49" s="107" t="s">
        <v>53</v>
      </c>
      <c r="M49" s="107" t="s">
        <v>53</v>
      </c>
    </row>
    <row r="50" spans="1:13" s="99" customFormat="1" ht="21.75"/>
    <row r="51" spans="1:13" s="99" customFormat="1" ht="21.75"/>
    <row r="52" spans="1:13" s="99" customFormat="1" ht="21.75"/>
    <row r="53" spans="1:13" s="99" customFormat="1" ht="21.75"/>
    <row r="54" spans="1:13" s="99" customFormat="1" ht="21.75"/>
    <row r="55" spans="1:13" s="99" customFormat="1" ht="21.75"/>
    <row r="56" spans="1:13" s="99" customFormat="1" ht="21.75"/>
    <row r="57" spans="1:13" s="99" customFormat="1" ht="21.75"/>
    <row r="58" spans="1:13" s="99" customFormat="1" ht="21.75"/>
    <row r="59" spans="1:13" s="99" customFormat="1" ht="21.75"/>
    <row r="60" spans="1:13" s="99" customFormat="1" ht="21.75"/>
    <row r="61" spans="1:13" s="99" customFormat="1" ht="21.75"/>
  </sheetData>
  <hyperlinks>
    <hyperlink ref="B2" location="Indice!A1" display="Regreso al índice" xr:uid="{49D40BFD-1001-4734-B6A6-2E567E120DF3}"/>
  </hyperlinks>
  <pageMargins left="0.7" right="0.7" top="0.75" bottom="0.75" header="0.3" footer="0.3"/>
  <pageSetup scale="4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D0979-1A18-436D-9BBA-1A7360EEF15B}">
  <dimension ref="A1:AP83"/>
  <sheetViews>
    <sheetView showGridLines="0" view="pageBreakPreview" topLeftCell="D1" zoomScale="70" zoomScaleNormal="100" zoomScaleSheetLayoutView="70" workbookViewId="0">
      <pane xSplit="1" ySplit="5" topLeftCell="E6" activePane="bottomRight" state="frozen"/>
      <selection activeCell="D1" sqref="D1"/>
      <selection pane="topRight" activeCell="E1" sqref="E1"/>
      <selection pane="bottomLeft" activeCell="D6" sqref="D6"/>
      <selection pane="bottomRight"/>
    </sheetView>
  </sheetViews>
  <sheetFormatPr baseColWidth="10" defaultColWidth="11.33203125" defaultRowHeight="23.25" outlineLevelCol="1"/>
  <cols>
    <col min="1" max="2" width="1.6640625" style="32" customWidth="1"/>
    <col min="3" max="3" width="8.6640625" style="32" customWidth="1"/>
    <col min="4" max="4" width="122.33203125" style="32" customWidth="1"/>
    <col min="5" max="7" width="20.83203125" style="32" hidden="1" customWidth="1" outlineLevel="1"/>
    <col min="8" max="8" width="22.5" style="32" bestFit="1" customWidth="1" collapsed="1"/>
    <col min="9" max="10" width="24.1640625" style="32" hidden="1" customWidth="1" outlineLevel="1"/>
    <col min="11" max="11" width="23.83203125" style="32" hidden="1" customWidth="1" outlineLevel="1"/>
    <col min="12" max="12" width="24.33203125" style="32" hidden="1" customWidth="1" outlineLevel="1"/>
    <col min="13" max="13" width="20.83203125" style="32" customWidth="1" collapsed="1"/>
    <col min="14" max="14" width="22.5" style="32" hidden="1" customWidth="1" outlineLevel="1"/>
    <col min="15" max="15" width="23.1640625" style="32" hidden="1" customWidth="1" outlineLevel="1"/>
    <col min="16" max="16" width="23.83203125" style="32" hidden="1" customWidth="1" outlineLevel="1"/>
    <col min="17" max="17" width="23.5" style="32" hidden="1" customWidth="1" outlineLevel="1"/>
    <col min="18" max="18" width="23.5" style="32" customWidth="1" collapsed="1"/>
    <col min="19" max="22" width="20.83203125" style="32" hidden="1" customWidth="1" outlineLevel="1"/>
    <col min="23" max="23" width="20.83203125" style="32" customWidth="1" collapsed="1"/>
    <col min="24" max="27" width="20.83203125" style="32" hidden="1" customWidth="1" outlineLevel="1"/>
    <col min="28" max="28" width="20.83203125" style="32" customWidth="1" collapsed="1"/>
    <col min="29" max="32" width="20.83203125" style="32" hidden="1" customWidth="1" outlineLevel="1"/>
    <col min="33" max="33" width="20.83203125" style="32" customWidth="1" collapsed="1"/>
    <col min="34" max="37" width="20.83203125" style="32" hidden="1" customWidth="1" outlineLevel="1"/>
    <col min="38" max="38" width="20.83203125" style="32" customWidth="1" collapsed="1"/>
    <col min="39" max="39" width="20.83203125" style="32" customWidth="1" outlineLevel="1"/>
    <col min="40" max="40" width="11.33203125" style="32"/>
    <col min="41" max="42" width="1.6640625" style="32" customWidth="1"/>
    <col min="43" max="16384" width="11.33203125" style="32"/>
  </cols>
  <sheetData>
    <row r="1" spans="1:42" ht="15.75" customHeight="1">
      <c r="A1" s="31" t="s">
        <v>53</v>
      </c>
      <c r="AP1" s="31" t="s">
        <v>53</v>
      </c>
    </row>
    <row r="2" spans="1:42" ht="15" customHeight="1">
      <c r="B2" s="73" t="s">
        <v>112</v>
      </c>
    </row>
    <row r="3" spans="1:42" ht="15" customHeight="1">
      <c r="D3" s="33"/>
      <c r="E3" s="33"/>
      <c r="F3" s="33"/>
      <c r="G3" s="33"/>
      <c r="I3" s="33"/>
      <c r="J3" s="33"/>
      <c r="K3" s="33"/>
      <c r="L3" s="33"/>
      <c r="M3" s="34"/>
      <c r="N3" s="33"/>
      <c r="O3" s="33"/>
      <c r="P3" s="33"/>
      <c r="Q3" s="33"/>
      <c r="R3" s="33"/>
      <c r="S3" s="33"/>
      <c r="T3" s="33"/>
      <c r="U3" s="33"/>
      <c r="V3" s="33"/>
      <c r="W3" s="34"/>
      <c r="X3" s="33"/>
      <c r="Y3" s="33"/>
      <c r="Z3" s="33"/>
      <c r="AA3" s="33"/>
      <c r="AB3" s="34"/>
      <c r="AC3" s="33"/>
      <c r="AD3" s="33"/>
      <c r="AE3" s="33"/>
      <c r="AF3" s="33"/>
      <c r="AG3" s="34"/>
      <c r="AH3" s="33"/>
      <c r="AI3" s="33"/>
      <c r="AJ3" s="33"/>
      <c r="AK3" s="33"/>
      <c r="AM3" s="33"/>
    </row>
    <row r="4" spans="1:42" ht="23.25" customHeight="1">
      <c r="D4" s="74" t="s">
        <v>143</v>
      </c>
      <c r="E4" s="60" t="s">
        <v>114</v>
      </c>
      <c r="F4" s="60" t="s">
        <v>115</v>
      </c>
      <c r="G4" s="60" t="s">
        <v>116</v>
      </c>
      <c r="H4" s="75">
        <v>2018</v>
      </c>
      <c r="I4" s="60" t="s">
        <v>117</v>
      </c>
      <c r="J4" s="60" t="s">
        <v>118</v>
      </c>
      <c r="K4" s="60" t="s">
        <v>119</v>
      </c>
      <c r="L4" s="60" t="s">
        <v>120</v>
      </c>
      <c r="M4" s="76">
        <v>2019</v>
      </c>
      <c r="N4" s="60" t="s">
        <v>121</v>
      </c>
      <c r="O4" s="60" t="s">
        <v>122</v>
      </c>
      <c r="P4" s="60" t="s">
        <v>123</v>
      </c>
      <c r="Q4" s="60" t="s">
        <v>124</v>
      </c>
      <c r="R4" s="60">
        <v>2020</v>
      </c>
      <c r="S4" s="60" t="s">
        <v>125</v>
      </c>
      <c r="T4" s="60" t="s">
        <v>126</v>
      </c>
      <c r="U4" s="60" t="s">
        <v>127</v>
      </c>
      <c r="V4" s="60" t="s">
        <v>128</v>
      </c>
      <c r="W4" s="76">
        <v>2021</v>
      </c>
      <c r="X4" s="60" t="s">
        <v>129</v>
      </c>
      <c r="Y4" s="60" t="s">
        <v>130</v>
      </c>
      <c r="Z4" s="60" t="s">
        <v>131</v>
      </c>
      <c r="AA4" s="60" t="s">
        <v>132</v>
      </c>
      <c r="AB4" s="76">
        <v>2022</v>
      </c>
      <c r="AC4" s="60" t="s">
        <v>133</v>
      </c>
      <c r="AD4" s="60" t="s">
        <v>134</v>
      </c>
      <c r="AE4" s="60" t="s">
        <v>135</v>
      </c>
      <c r="AF4" s="60" t="s">
        <v>136</v>
      </c>
      <c r="AG4" s="76">
        <v>2023</v>
      </c>
      <c r="AH4" s="60" t="s">
        <v>137</v>
      </c>
      <c r="AI4" s="60" t="s">
        <v>138</v>
      </c>
      <c r="AJ4" s="60" t="s">
        <v>139</v>
      </c>
      <c r="AK4" s="60" t="s">
        <v>140</v>
      </c>
      <c r="AL4" s="76">
        <v>2024</v>
      </c>
      <c r="AM4" s="60" t="s">
        <v>141</v>
      </c>
    </row>
    <row r="5" spans="1:42" ht="11.25" customHeight="1">
      <c r="D5" s="35"/>
      <c r="E5" s="35"/>
      <c r="F5" s="35"/>
      <c r="G5" s="35"/>
      <c r="H5" s="77"/>
      <c r="I5" s="35"/>
      <c r="J5" s="35"/>
      <c r="K5" s="35"/>
      <c r="L5" s="35"/>
      <c r="M5" s="77"/>
      <c r="N5" s="35"/>
      <c r="O5" s="35"/>
      <c r="P5" s="35"/>
      <c r="Q5" s="35"/>
      <c r="R5" s="35"/>
      <c r="S5" s="35"/>
      <c r="T5" s="35"/>
      <c r="U5" s="35"/>
      <c r="V5" s="35"/>
      <c r="W5" s="77"/>
      <c r="X5" s="35"/>
      <c r="Y5" s="35"/>
      <c r="Z5" s="35"/>
      <c r="AA5" s="35"/>
      <c r="AB5" s="77"/>
      <c r="AC5" s="35"/>
      <c r="AD5" s="35"/>
      <c r="AE5" s="35"/>
      <c r="AF5" s="35"/>
      <c r="AG5" s="77"/>
      <c r="AH5" s="35"/>
      <c r="AI5" s="35"/>
      <c r="AJ5" s="35"/>
      <c r="AK5" s="35"/>
      <c r="AL5" s="77"/>
      <c r="AM5" s="35"/>
    </row>
    <row r="6" spans="1:42">
      <c r="D6" s="78" t="s">
        <v>36</v>
      </c>
      <c r="E6" s="61">
        <v>22015</v>
      </c>
      <c r="F6" s="61">
        <v>502216</v>
      </c>
      <c r="G6" s="61">
        <v>502215</v>
      </c>
      <c r="H6" s="61">
        <v>1026445</v>
      </c>
      <c r="I6" s="61">
        <v>503678</v>
      </c>
      <c r="J6" s="61">
        <v>521100</v>
      </c>
      <c r="K6" s="61">
        <v>612497</v>
      </c>
      <c r="L6" s="61">
        <v>646975</v>
      </c>
      <c r="M6" s="61">
        <v>2284250</v>
      </c>
      <c r="N6" s="61">
        <v>729081</v>
      </c>
      <c r="O6" s="61">
        <v>729590</v>
      </c>
      <c r="P6" s="61">
        <v>750190</v>
      </c>
      <c r="Q6" s="61">
        <v>750469</v>
      </c>
      <c r="R6" s="61">
        <v>2959330</v>
      </c>
      <c r="S6" s="61">
        <v>753092</v>
      </c>
      <c r="T6" s="61">
        <v>754062</v>
      </c>
      <c r="U6" s="61">
        <v>791655</v>
      </c>
      <c r="V6" s="61">
        <v>792774</v>
      </c>
      <c r="W6" s="61">
        <v>3091583</v>
      </c>
      <c r="X6" s="61">
        <v>803953</v>
      </c>
      <c r="Y6" s="61">
        <v>808657</v>
      </c>
      <c r="Z6" s="61">
        <v>1014727</v>
      </c>
      <c r="AA6" s="61">
        <v>1005586</v>
      </c>
      <c r="AB6" s="61">
        <v>3632923</v>
      </c>
      <c r="AC6" s="61">
        <v>1013099</v>
      </c>
      <c r="AD6" s="61">
        <v>1014677</v>
      </c>
      <c r="AE6" s="61">
        <v>1059347</v>
      </c>
      <c r="AF6" s="61">
        <v>1003020</v>
      </c>
      <c r="AG6" s="61">
        <v>4090143</v>
      </c>
      <c r="AH6" s="61">
        <v>982181</v>
      </c>
      <c r="AI6" s="61">
        <v>984630</v>
      </c>
      <c r="AJ6" s="61">
        <v>1042850</v>
      </c>
      <c r="AK6" s="61">
        <v>1052996</v>
      </c>
      <c r="AL6" s="61">
        <v>4062657</v>
      </c>
      <c r="AM6" s="61">
        <v>1057754</v>
      </c>
    </row>
    <row r="7" spans="1:42">
      <c r="D7" s="37" t="s">
        <v>37</v>
      </c>
      <c r="E7" s="79">
        <v>1754</v>
      </c>
      <c r="F7" s="79">
        <v>37870</v>
      </c>
      <c r="G7" s="79">
        <v>42937</v>
      </c>
      <c r="H7" s="79">
        <v>82560</v>
      </c>
      <c r="I7" s="79">
        <v>46753</v>
      </c>
      <c r="J7" s="79">
        <v>48847</v>
      </c>
      <c r="K7" s="79">
        <v>60958</v>
      </c>
      <c r="L7" s="79">
        <v>50933</v>
      </c>
      <c r="M7" s="79">
        <v>207491</v>
      </c>
      <c r="N7" s="79">
        <v>71915</v>
      </c>
      <c r="O7" s="79">
        <v>72304</v>
      </c>
      <c r="P7" s="79">
        <v>85751</v>
      </c>
      <c r="Q7" s="79">
        <v>59726</v>
      </c>
      <c r="R7" s="79">
        <v>289696</v>
      </c>
      <c r="S7" s="79">
        <v>78262</v>
      </c>
      <c r="T7" s="79">
        <v>79730</v>
      </c>
      <c r="U7" s="79">
        <v>85182</v>
      </c>
      <c r="V7" s="79">
        <v>91822</v>
      </c>
      <c r="W7" s="79">
        <v>334996</v>
      </c>
      <c r="X7" s="79">
        <v>88627</v>
      </c>
      <c r="Y7" s="79">
        <v>92736</v>
      </c>
      <c r="Z7" s="79">
        <v>108987</v>
      </c>
      <c r="AA7" s="79">
        <v>118169</v>
      </c>
      <c r="AB7" s="79">
        <v>408519</v>
      </c>
      <c r="AC7" s="79">
        <v>106830</v>
      </c>
      <c r="AD7" s="79">
        <v>116277</v>
      </c>
      <c r="AE7" s="79">
        <v>123895</v>
      </c>
      <c r="AF7" s="79">
        <v>112142</v>
      </c>
      <c r="AG7" s="79">
        <v>459144</v>
      </c>
      <c r="AH7" s="79">
        <v>109244</v>
      </c>
      <c r="AI7" s="79">
        <v>109766</v>
      </c>
      <c r="AJ7" s="79">
        <v>112267</v>
      </c>
      <c r="AK7" s="79">
        <v>124097</v>
      </c>
      <c r="AL7" s="79">
        <v>455374</v>
      </c>
      <c r="AM7" s="79">
        <v>120764</v>
      </c>
    </row>
    <row r="8" spans="1:42">
      <c r="D8" s="37" t="s">
        <v>38</v>
      </c>
      <c r="E8" s="79">
        <v>611</v>
      </c>
      <c r="F8" s="79">
        <v>14256</v>
      </c>
      <c r="G8" s="79">
        <v>13425</v>
      </c>
      <c r="H8" s="79">
        <v>28292</v>
      </c>
      <c r="I8" s="79">
        <v>14025</v>
      </c>
      <c r="J8" s="79">
        <v>45642</v>
      </c>
      <c r="K8" s="79">
        <v>12066</v>
      </c>
      <c r="L8" s="79">
        <v>13508</v>
      </c>
      <c r="M8" s="79">
        <v>85241</v>
      </c>
      <c r="N8" s="79">
        <v>12618</v>
      </c>
      <c r="O8" s="79">
        <v>13033</v>
      </c>
      <c r="P8" s="79">
        <v>19539</v>
      </c>
      <c r="Q8" s="79">
        <v>12213</v>
      </c>
      <c r="R8" s="79">
        <v>57403</v>
      </c>
      <c r="S8" s="79">
        <v>14012</v>
      </c>
      <c r="T8" s="79">
        <v>11360</v>
      </c>
      <c r="U8" s="79">
        <v>12275</v>
      </c>
      <c r="V8" s="79">
        <v>13463</v>
      </c>
      <c r="W8" s="79">
        <v>51110</v>
      </c>
      <c r="X8" s="79">
        <v>18614</v>
      </c>
      <c r="Y8" s="79">
        <v>15420</v>
      </c>
      <c r="Z8" s="79">
        <v>19824</v>
      </c>
      <c r="AA8" s="79">
        <v>14955</v>
      </c>
      <c r="AB8" s="79">
        <v>68813</v>
      </c>
      <c r="AC8" s="79">
        <v>19528</v>
      </c>
      <c r="AD8" s="79">
        <v>14756</v>
      </c>
      <c r="AE8" s="79">
        <v>17607</v>
      </c>
      <c r="AF8" s="79">
        <v>24627</v>
      </c>
      <c r="AG8" s="79">
        <v>76518</v>
      </c>
      <c r="AH8" s="79">
        <v>26042</v>
      </c>
      <c r="AI8" s="79">
        <v>21539</v>
      </c>
      <c r="AJ8" s="79">
        <v>25122</v>
      </c>
      <c r="AK8" s="79">
        <v>28384</v>
      </c>
      <c r="AL8" s="79">
        <v>101087</v>
      </c>
      <c r="AM8" s="79">
        <v>21648</v>
      </c>
    </row>
    <row r="9" spans="1:42">
      <c r="D9" s="80" t="s">
        <v>39</v>
      </c>
      <c r="E9" s="81">
        <v>2365</v>
      </c>
      <c r="F9" s="81">
        <v>52126</v>
      </c>
      <c r="G9" s="81">
        <v>56362</v>
      </c>
      <c r="H9" s="81">
        <v>110852</v>
      </c>
      <c r="I9" s="81">
        <v>60778</v>
      </c>
      <c r="J9" s="81">
        <v>94489</v>
      </c>
      <c r="K9" s="81">
        <v>73024</v>
      </c>
      <c r="L9" s="81">
        <v>64441</v>
      </c>
      <c r="M9" s="81">
        <v>292732</v>
      </c>
      <c r="N9" s="81">
        <v>84533</v>
      </c>
      <c r="O9" s="81">
        <v>85337</v>
      </c>
      <c r="P9" s="81">
        <v>105290</v>
      </c>
      <c r="Q9" s="81">
        <v>71939</v>
      </c>
      <c r="R9" s="81">
        <v>347099</v>
      </c>
      <c r="S9" s="81">
        <v>92274</v>
      </c>
      <c r="T9" s="81">
        <v>91090</v>
      </c>
      <c r="U9" s="81">
        <v>97457</v>
      </c>
      <c r="V9" s="81">
        <v>105285</v>
      </c>
      <c r="W9" s="81">
        <v>386106</v>
      </c>
      <c r="X9" s="81">
        <v>107241</v>
      </c>
      <c r="Y9" s="81">
        <v>108156</v>
      </c>
      <c r="Z9" s="81">
        <v>128811</v>
      </c>
      <c r="AA9" s="81">
        <v>133124</v>
      </c>
      <c r="AB9" s="81">
        <v>477332</v>
      </c>
      <c r="AC9" s="81">
        <v>126358</v>
      </c>
      <c r="AD9" s="81">
        <v>131033</v>
      </c>
      <c r="AE9" s="81">
        <v>141502</v>
      </c>
      <c r="AF9" s="81">
        <v>136769</v>
      </c>
      <c r="AG9" s="81">
        <v>535662</v>
      </c>
      <c r="AH9" s="81">
        <v>135286</v>
      </c>
      <c r="AI9" s="81">
        <v>131305</v>
      </c>
      <c r="AJ9" s="81">
        <v>137389</v>
      </c>
      <c r="AK9" s="81">
        <v>152481</v>
      </c>
      <c r="AL9" s="81">
        <v>556461</v>
      </c>
      <c r="AM9" s="81">
        <v>142412</v>
      </c>
    </row>
    <row r="10" spans="1:42">
      <c r="D10" s="67" t="s">
        <v>40</v>
      </c>
      <c r="E10" s="61">
        <v>19650</v>
      </c>
      <c r="F10" s="61">
        <v>450090</v>
      </c>
      <c r="G10" s="61">
        <v>445853</v>
      </c>
      <c r="H10" s="61">
        <v>915593</v>
      </c>
      <c r="I10" s="61">
        <v>442900</v>
      </c>
      <c r="J10" s="61">
        <v>426611</v>
      </c>
      <c r="K10" s="61">
        <v>539473</v>
      </c>
      <c r="L10" s="61">
        <v>582534</v>
      </c>
      <c r="M10" s="61">
        <v>1991518</v>
      </c>
      <c r="N10" s="61">
        <v>644548</v>
      </c>
      <c r="O10" s="61">
        <v>644253</v>
      </c>
      <c r="P10" s="61">
        <v>644900</v>
      </c>
      <c r="Q10" s="61">
        <v>678530</v>
      </c>
      <c r="R10" s="61">
        <v>2612231</v>
      </c>
      <c r="S10" s="61">
        <v>660818</v>
      </c>
      <c r="T10" s="61">
        <v>662972</v>
      </c>
      <c r="U10" s="61">
        <v>694198</v>
      </c>
      <c r="V10" s="61">
        <v>687489</v>
      </c>
      <c r="W10" s="61">
        <v>2705477</v>
      </c>
      <c r="X10" s="61">
        <v>696712</v>
      </c>
      <c r="Y10" s="61">
        <v>700501</v>
      </c>
      <c r="Z10" s="61">
        <v>885916</v>
      </c>
      <c r="AA10" s="61">
        <v>872462</v>
      </c>
      <c r="AB10" s="61">
        <v>3155591</v>
      </c>
      <c r="AC10" s="61">
        <v>886741</v>
      </c>
      <c r="AD10" s="61">
        <v>883644</v>
      </c>
      <c r="AE10" s="61">
        <v>917845</v>
      </c>
      <c r="AF10" s="61">
        <v>866251</v>
      </c>
      <c r="AG10" s="61">
        <v>3554481</v>
      </c>
      <c r="AH10" s="61">
        <v>846895</v>
      </c>
      <c r="AI10" s="61">
        <v>853325</v>
      </c>
      <c r="AJ10" s="61">
        <v>905461</v>
      </c>
      <c r="AK10" s="61">
        <v>900515</v>
      </c>
      <c r="AL10" s="61">
        <v>3506196</v>
      </c>
      <c r="AM10" s="61">
        <v>915342</v>
      </c>
    </row>
    <row r="11" spans="1:42">
      <c r="D11" s="36"/>
      <c r="E11" s="79"/>
      <c r="F11" s="79"/>
      <c r="G11" s="79"/>
      <c r="H11" s="79"/>
      <c r="I11" s="79"/>
      <c r="J11" s="79"/>
      <c r="K11" s="79"/>
      <c r="L11" s="79"/>
      <c r="M11" s="82"/>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row>
    <row r="12" spans="1:42">
      <c r="D12" s="37" t="s">
        <v>106</v>
      </c>
      <c r="E12" s="82">
        <v>0</v>
      </c>
      <c r="F12" s="82">
        <v>0</v>
      </c>
      <c r="G12" s="82">
        <v>-679536</v>
      </c>
      <c r="H12" s="82">
        <v>-679536</v>
      </c>
      <c r="I12" s="82">
        <v>0</v>
      </c>
      <c r="J12" s="82">
        <v>0</v>
      </c>
      <c r="K12" s="82">
        <v>0</v>
      </c>
      <c r="L12" s="82">
        <v>158595</v>
      </c>
      <c r="M12" s="82">
        <v>158595</v>
      </c>
      <c r="N12" s="82">
        <v>0</v>
      </c>
      <c r="O12" s="82">
        <v>0</v>
      </c>
      <c r="P12" s="82">
        <v>0</v>
      </c>
      <c r="Q12" s="82">
        <v>473856</v>
      </c>
      <c r="R12" s="82">
        <v>473856</v>
      </c>
      <c r="S12" s="82">
        <v>0</v>
      </c>
      <c r="T12" s="82">
        <v>0</v>
      </c>
      <c r="U12" s="82">
        <v>0</v>
      </c>
      <c r="V12" s="82">
        <v>1105419</v>
      </c>
      <c r="W12" s="82">
        <v>1105419</v>
      </c>
      <c r="X12" s="82">
        <v>0</v>
      </c>
      <c r="Y12" s="82">
        <v>0</v>
      </c>
      <c r="Z12" s="82">
        <v>0</v>
      </c>
      <c r="AA12" s="82">
        <v>1371025</v>
      </c>
      <c r="AB12" s="82">
        <v>1371025</v>
      </c>
      <c r="AC12" s="82">
        <v>0</v>
      </c>
      <c r="AD12" s="82">
        <v>0</v>
      </c>
      <c r="AE12" s="82">
        <v>0</v>
      </c>
      <c r="AF12" s="82">
        <v>1078666</v>
      </c>
      <c r="AG12" s="82">
        <v>1078666</v>
      </c>
      <c r="AH12" s="82">
        <v>0</v>
      </c>
      <c r="AI12" s="82">
        <v>0</v>
      </c>
      <c r="AJ12" s="82">
        <v>0</v>
      </c>
      <c r="AK12" s="82">
        <v>776753</v>
      </c>
      <c r="AL12" s="82">
        <v>776753</v>
      </c>
      <c r="AM12" s="82">
        <v>0</v>
      </c>
    </row>
    <row r="13" spans="1:42">
      <c r="D13" s="37" t="s">
        <v>41</v>
      </c>
      <c r="E13" s="82">
        <v>0</v>
      </c>
      <c r="F13" s="82">
        <v>0</v>
      </c>
      <c r="G13" s="83">
        <v>0</v>
      </c>
      <c r="H13" s="83">
        <v>0</v>
      </c>
      <c r="I13" s="83">
        <v>0</v>
      </c>
      <c r="J13" s="83">
        <v>0</v>
      </c>
      <c r="K13" s="83">
        <v>0</v>
      </c>
      <c r="L13" s="83">
        <v>0</v>
      </c>
      <c r="M13" s="83">
        <v>0</v>
      </c>
      <c r="N13" s="83">
        <v>0</v>
      </c>
      <c r="O13" s="83">
        <v>0</v>
      </c>
      <c r="P13" s="83">
        <v>-20000</v>
      </c>
      <c r="Q13" s="83">
        <v>-20000</v>
      </c>
      <c r="R13" s="83">
        <v>-40000</v>
      </c>
      <c r="S13" s="82">
        <v>0</v>
      </c>
      <c r="T13" s="82">
        <v>0</v>
      </c>
      <c r="U13" s="83">
        <v>-20000</v>
      </c>
      <c r="V13" s="83">
        <v>-20000</v>
      </c>
      <c r="W13" s="83">
        <v>-40000</v>
      </c>
      <c r="X13" s="83">
        <v>-10750</v>
      </c>
      <c r="Y13" s="83">
        <v>-10750</v>
      </c>
      <c r="Z13" s="83">
        <v>-10750</v>
      </c>
      <c r="AA13" s="83">
        <v>-10750</v>
      </c>
      <c r="AB13" s="83">
        <v>-43000</v>
      </c>
      <c r="AC13" s="83">
        <v>-11750</v>
      </c>
      <c r="AD13" s="83">
        <v>-11390</v>
      </c>
      <c r="AE13" s="83">
        <v>-11930</v>
      </c>
      <c r="AF13" s="83">
        <v>-11930</v>
      </c>
      <c r="AG13" s="83">
        <v>-47000</v>
      </c>
      <c r="AH13" s="83">
        <v>-13750</v>
      </c>
      <c r="AI13" s="83">
        <v>-13750</v>
      </c>
      <c r="AJ13" s="83">
        <v>-13750</v>
      </c>
      <c r="AK13" s="83">
        <v>-13450</v>
      </c>
      <c r="AL13" s="83">
        <v>-54700</v>
      </c>
      <c r="AM13" s="83">
        <v>-14250</v>
      </c>
    </row>
    <row r="14" spans="1:42">
      <c r="D14" s="67" t="s">
        <v>42</v>
      </c>
      <c r="E14" s="84">
        <v>19650</v>
      </c>
      <c r="F14" s="84">
        <v>450090</v>
      </c>
      <c r="G14" s="84">
        <v>-233683</v>
      </c>
      <c r="H14" s="84">
        <v>236057</v>
      </c>
      <c r="I14" s="84">
        <v>442900</v>
      </c>
      <c r="J14" s="84">
        <v>426611</v>
      </c>
      <c r="K14" s="84">
        <v>539473</v>
      </c>
      <c r="L14" s="84">
        <v>741129</v>
      </c>
      <c r="M14" s="84">
        <v>2150113</v>
      </c>
      <c r="N14" s="84">
        <v>644548</v>
      </c>
      <c r="O14" s="84">
        <v>644253</v>
      </c>
      <c r="P14" s="84">
        <v>624900</v>
      </c>
      <c r="Q14" s="84">
        <v>1132386</v>
      </c>
      <c r="R14" s="84">
        <v>3046087</v>
      </c>
      <c r="S14" s="84">
        <v>660818</v>
      </c>
      <c r="T14" s="84">
        <v>662972</v>
      </c>
      <c r="U14" s="84">
        <v>674198</v>
      </c>
      <c r="V14" s="84">
        <v>1772908</v>
      </c>
      <c r="W14" s="84">
        <v>3770896</v>
      </c>
      <c r="X14" s="84">
        <v>685962</v>
      </c>
      <c r="Y14" s="84">
        <v>689751</v>
      </c>
      <c r="Z14" s="84">
        <v>875166</v>
      </c>
      <c r="AA14" s="84">
        <v>2232737</v>
      </c>
      <c r="AB14" s="84">
        <v>4483616</v>
      </c>
      <c r="AC14" s="84">
        <v>874991</v>
      </c>
      <c r="AD14" s="84">
        <v>872254</v>
      </c>
      <c r="AE14" s="84">
        <v>905915</v>
      </c>
      <c r="AF14" s="84">
        <v>1932987</v>
      </c>
      <c r="AG14" s="84">
        <v>4586147</v>
      </c>
      <c r="AH14" s="84">
        <v>833145</v>
      </c>
      <c r="AI14" s="84">
        <v>839575</v>
      </c>
      <c r="AJ14" s="84">
        <v>891711</v>
      </c>
      <c r="AK14" s="84">
        <v>1663818</v>
      </c>
      <c r="AL14" s="84">
        <v>4228249</v>
      </c>
      <c r="AM14" s="84">
        <v>901092</v>
      </c>
    </row>
    <row r="15" spans="1:42">
      <c r="D15" s="36"/>
      <c r="E15" s="82"/>
      <c r="F15" s="82"/>
      <c r="G15" s="82"/>
      <c r="H15" s="82"/>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row>
    <row r="16" spans="1:42">
      <c r="D16" s="85" t="s">
        <v>43</v>
      </c>
      <c r="E16" s="82"/>
      <c r="F16" s="82"/>
      <c r="G16" s="82"/>
      <c r="H16" s="82"/>
      <c r="I16" s="82"/>
      <c r="J16" s="8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row>
    <row r="17" spans="4:39">
      <c r="D17" s="37" t="s">
        <v>44</v>
      </c>
      <c r="E17" s="82">
        <v>1611</v>
      </c>
      <c r="F17" s="82">
        <f>131962+11</f>
        <v>131973</v>
      </c>
      <c r="G17" s="82">
        <v>136467</v>
      </c>
      <c r="H17" s="82">
        <v>270051</v>
      </c>
      <c r="I17" s="82">
        <v>156239</v>
      </c>
      <c r="J17" s="82">
        <v>159308</v>
      </c>
      <c r="K17" s="82">
        <v>103892</v>
      </c>
      <c r="L17" s="82">
        <v>75465</v>
      </c>
      <c r="M17" s="82">
        <v>494904</v>
      </c>
      <c r="N17" s="82">
        <v>13635</v>
      </c>
      <c r="O17" s="82">
        <v>10641</v>
      </c>
      <c r="P17" s="82">
        <v>14685</v>
      </c>
      <c r="Q17" s="82">
        <v>13218</v>
      </c>
      <c r="R17" s="82">
        <v>52179</v>
      </c>
      <c r="S17" s="82">
        <v>15323</v>
      </c>
      <c r="T17" s="82">
        <v>13806</v>
      </c>
      <c r="U17" s="82">
        <v>16131</v>
      </c>
      <c r="V17" s="82">
        <v>19908</v>
      </c>
      <c r="W17" s="82">
        <v>65168</v>
      </c>
      <c r="X17" s="82">
        <v>17953</v>
      </c>
      <c r="Y17" s="82">
        <v>51619</v>
      </c>
      <c r="Z17" s="82">
        <v>19510</v>
      </c>
      <c r="AA17" s="82">
        <v>25563</v>
      </c>
      <c r="AB17" s="82">
        <v>114645</v>
      </c>
      <c r="AC17" s="82">
        <v>36458</v>
      </c>
      <c r="AD17" s="82">
        <v>38411</v>
      </c>
      <c r="AE17" s="82">
        <v>39711</v>
      </c>
      <c r="AF17" s="82">
        <v>97033</v>
      </c>
      <c r="AG17" s="82">
        <v>211613</v>
      </c>
      <c r="AH17" s="82">
        <v>93920</v>
      </c>
      <c r="AI17" s="82">
        <v>90785</v>
      </c>
      <c r="AJ17" s="82">
        <v>66508</v>
      </c>
      <c r="AK17" s="82">
        <v>54639</v>
      </c>
      <c r="AL17" s="82">
        <v>305852</v>
      </c>
      <c r="AM17" s="82">
        <v>49023</v>
      </c>
    </row>
    <row r="18" spans="4:39">
      <c r="D18" s="37" t="s">
        <v>45</v>
      </c>
      <c r="E18" s="83">
        <v>0</v>
      </c>
      <c r="F18" s="83">
        <v>-8786</v>
      </c>
      <c r="G18" s="83">
        <v>-8786</v>
      </c>
      <c r="H18" s="82">
        <v>0</v>
      </c>
      <c r="I18" s="83">
        <v>-834</v>
      </c>
      <c r="J18" s="83">
        <v>-834</v>
      </c>
      <c r="K18" s="83">
        <v>-834</v>
      </c>
      <c r="L18" s="83">
        <v>-1417</v>
      </c>
      <c r="M18" s="83">
        <v>-3919</v>
      </c>
      <c r="N18" s="83">
        <v>-965</v>
      </c>
      <c r="O18" s="83">
        <v>-965</v>
      </c>
      <c r="P18" s="83">
        <v>-965</v>
      </c>
      <c r="Q18" s="83">
        <v>-965</v>
      </c>
      <c r="R18" s="83">
        <v>-3860</v>
      </c>
      <c r="S18" s="83">
        <v>-944</v>
      </c>
      <c r="T18" s="83">
        <v>-944</v>
      </c>
      <c r="U18" s="83">
        <v>-944</v>
      </c>
      <c r="V18" s="83">
        <v>-946</v>
      </c>
      <c r="W18" s="83">
        <v>-3778</v>
      </c>
      <c r="X18" s="83">
        <v>-864</v>
      </c>
      <c r="Y18" s="83">
        <v>-70694</v>
      </c>
      <c r="Z18" s="83">
        <v>-157749</v>
      </c>
      <c r="AA18" s="83">
        <v>-175078</v>
      </c>
      <c r="AB18" s="83">
        <v>-404385</v>
      </c>
      <c r="AC18" s="83">
        <v>-196417</v>
      </c>
      <c r="AD18" s="83">
        <v>-209871</v>
      </c>
      <c r="AE18" s="83">
        <v>-194112</v>
      </c>
      <c r="AF18" s="83">
        <v>-250335</v>
      </c>
      <c r="AG18" s="83">
        <v>-850735</v>
      </c>
      <c r="AH18" s="83">
        <v>-170689</v>
      </c>
      <c r="AI18" s="83">
        <v>-167950</v>
      </c>
      <c r="AJ18" s="83">
        <v>-172308</v>
      </c>
      <c r="AK18" s="83">
        <v>-170840</v>
      </c>
      <c r="AL18" s="83">
        <v>-681787</v>
      </c>
      <c r="AM18" s="83">
        <v>-164285</v>
      </c>
    </row>
    <row r="19" spans="4:39">
      <c r="D19" s="37" t="s">
        <v>46</v>
      </c>
      <c r="E19" s="83">
        <v>0</v>
      </c>
      <c r="F19" s="83">
        <v>0</v>
      </c>
      <c r="G19" s="83">
        <v>0</v>
      </c>
      <c r="H19" s="82">
        <v>0</v>
      </c>
      <c r="I19" s="83">
        <v>0</v>
      </c>
      <c r="J19" s="83">
        <v>0</v>
      </c>
      <c r="K19" s="83">
        <v>0</v>
      </c>
      <c r="L19" s="83">
        <v>0</v>
      </c>
      <c r="M19" s="83">
        <v>0</v>
      </c>
      <c r="N19" s="83">
        <v>0</v>
      </c>
      <c r="O19" s="83">
        <v>0</v>
      </c>
      <c r="P19" s="83">
        <v>0</v>
      </c>
      <c r="Q19" s="83">
        <v>0</v>
      </c>
      <c r="R19" s="83">
        <v>0</v>
      </c>
      <c r="S19" s="83">
        <v>0</v>
      </c>
      <c r="T19" s="83">
        <v>0</v>
      </c>
      <c r="U19" s="83">
        <v>0</v>
      </c>
      <c r="V19" s="83">
        <v>0</v>
      </c>
      <c r="W19" s="83">
        <v>0</v>
      </c>
      <c r="X19" s="83">
        <v>0</v>
      </c>
      <c r="Y19" s="83">
        <v>-7427</v>
      </c>
      <c r="Z19" s="83">
        <v>-16204</v>
      </c>
      <c r="AA19" s="83">
        <v>-15529</v>
      </c>
      <c r="AB19" s="83">
        <v>-39160</v>
      </c>
      <c r="AC19" s="83">
        <v>-15565</v>
      </c>
      <c r="AD19" s="83">
        <v>-15268</v>
      </c>
      <c r="AE19" s="83">
        <v>-16727</v>
      </c>
      <c r="AF19" s="83">
        <v>-33895</v>
      </c>
      <c r="AG19" s="83">
        <v>-81455</v>
      </c>
      <c r="AH19" s="83">
        <v>-2846</v>
      </c>
      <c r="AI19" s="83">
        <v>-2427</v>
      </c>
      <c r="AJ19" s="83">
        <v>-3042</v>
      </c>
      <c r="AK19" s="83">
        <v>-2343</v>
      </c>
      <c r="AL19" s="83">
        <v>-10658</v>
      </c>
      <c r="AM19" s="83">
        <v>-2245</v>
      </c>
    </row>
    <row r="20" spans="4:39">
      <c r="D20" s="37" t="s">
        <v>220</v>
      </c>
      <c r="E20" s="83">
        <v>0</v>
      </c>
      <c r="F20" s="83">
        <v>0</v>
      </c>
      <c r="G20" s="83">
        <v>4</v>
      </c>
      <c r="H20" s="82">
        <v>4</v>
      </c>
      <c r="I20" s="83">
        <v>0</v>
      </c>
      <c r="J20" s="83">
        <v>-1</v>
      </c>
      <c r="K20" s="83">
        <v>-34</v>
      </c>
      <c r="L20" s="83">
        <v>2</v>
      </c>
      <c r="M20" s="83">
        <v>-33</v>
      </c>
      <c r="N20" s="83">
        <v>-8</v>
      </c>
      <c r="O20" s="83">
        <v>-10</v>
      </c>
      <c r="P20" s="83">
        <v>37</v>
      </c>
      <c r="Q20" s="83">
        <v>-2</v>
      </c>
      <c r="R20" s="83">
        <v>17</v>
      </c>
      <c r="S20" s="83">
        <v>-19</v>
      </c>
      <c r="T20" s="83">
        <v>-7</v>
      </c>
      <c r="U20" s="83">
        <v>-8</v>
      </c>
      <c r="V20" s="83">
        <v>4</v>
      </c>
      <c r="W20" s="83">
        <v>-30</v>
      </c>
      <c r="X20" s="83">
        <v>-239</v>
      </c>
      <c r="Y20" s="83">
        <v>221</v>
      </c>
      <c r="Z20" s="83">
        <v>-18</v>
      </c>
      <c r="AA20" s="83">
        <v>1</v>
      </c>
      <c r="AB20" s="83">
        <v>-35</v>
      </c>
      <c r="AC20" s="83">
        <v>-13</v>
      </c>
      <c r="AD20" s="83">
        <v>-10</v>
      </c>
      <c r="AE20" s="83">
        <v>-10664</v>
      </c>
      <c r="AF20" s="83">
        <v>-36146</v>
      </c>
      <c r="AG20" s="83">
        <v>-46833</v>
      </c>
      <c r="AH20" s="83">
        <v>-87879</v>
      </c>
      <c r="AI20" s="83">
        <v>-7559</v>
      </c>
      <c r="AJ20" s="83">
        <v>-77444</v>
      </c>
      <c r="AK20" s="83">
        <v>-61005</v>
      </c>
      <c r="AL20" s="83">
        <v>-233887</v>
      </c>
      <c r="AM20" s="83">
        <v>-52717</v>
      </c>
    </row>
    <row r="21" spans="4:39">
      <c r="D21" s="36"/>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row>
    <row r="22" spans="4:39">
      <c r="D22" s="67" t="s">
        <v>47</v>
      </c>
      <c r="E22" s="61">
        <v>1611</v>
      </c>
      <c r="F22" s="61">
        <v>123187</v>
      </c>
      <c r="G22" s="61">
        <v>127685</v>
      </c>
      <c r="H22" s="61">
        <v>270055</v>
      </c>
      <c r="I22" s="61">
        <v>155405</v>
      </c>
      <c r="J22" s="61">
        <v>158473</v>
      </c>
      <c r="K22" s="61">
        <v>103024</v>
      </c>
      <c r="L22" s="61">
        <v>74050</v>
      </c>
      <c r="M22" s="61">
        <v>490952</v>
      </c>
      <c r="N22" s="61">
        <v>12662</v>
      </c>
      <c r="O22" s="61">
        <v>9666</v>
      </c>
      <c r="P22" s="61">
        <v>13757</v>
      </c>
      <c r="Q22" s="61">
        <v>12251</v>
      </c>
      <c r="R22" s="61">
        <v>48336</v>
      </c>
      <c r="S22" s="61">
        <v>14360</v>
      </c>
      <c r="T22" s="61">
        <v>12855</v>
      </c>
      <c r="U22" s="61">
        <v>15179</v>
      </c>
      <c r="V22" s="61">
        <v>18966</v>
      </c>
      <c r="W22" s="61">
        <v>61360</v>
      </c>
      <c r="X22" s="61">
        <v>16850</v>
      </c>
      <c r="Y22" s="61">
        <v>-26281</v>
      </c>
      <c r="Z22" s="61">
        <v>-154461</v>
      </c>
      <c r="AA22" s="61">
        <v>-165043</v>
      </c>
      <c r="AB22" s="61">
        <v>-328935</v>
      </c>
      <c r="AC22" s="61">
        <v>-175537</v>
      </c>
      <c r="AD22" s="61">
        <v>-186738</v>
      </c>
      <c r="AE22" s="61">
        <v>-181792</v>
      </c>
      <c r="AF22" s="61">
        <v>-223343</v>
      </c>
      <c r="AG22" s="61">
        <v>-767410</v>
      </c>
      <c r="AH22" s="61">
        <v>-167494</v>
      </c>
      <c r="AI22" s="61">
        <v>-87151</v>
      </c>
      <c r="AJ22" s="61">
        <v>-186286</v>
      </c>
      <c r="AK22" s="61">
        <v>-179549</v>
      </c>
      <c r="AL22" s="61">
        <v>-620480</v>
      </c>
      <c r="AM22" s="61">
        <v>-170224</v>
      </c>
    </row>
    <row r="23" spans="4:39">
      <c r="D23" s="36"/>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row>
    <row r="24" spans="4:39">
      <c r="D24" s="37" t="s">
        <v>48</v>
      </c>
      <c r="E24" s="82">
        <v>21261</v>
      </c>
      <c r="F24" s="82">
        <v>573277</v>
      </c>
      <c r="G24" s="82">
        <v>-88426</v>
      </c>
      <c r="H24" s="82">
        <v>506112</v>
      </c>
      <c r="I24" s="82">
        <v>598305</v>
      </c>
      <c r="J24" s="82">
        <v>585084</v>
      </c>
      <c r="K24" s="82">
        <v>642497</v>
      </c>
      <c r="L24" s="82">
        <v>815179</v>
      </c>
      <c r="M24" s="82">
        <v>2641065</v>
      </c>
      <c r="N24" s="82">
        <v>657210</v>
      </c>
      <c r="O24" s="82">
        <v>653919</v>
      </c>
      <c r="P24" s="82">
        <v>638657</v>
      </c>
      <c r="Q24" s="82">
        <v>1144637</v>
      </c>
      <c r="R24" s="82">
        <v>3094423</v>
      </c>
      <c r="S24" s="82">
        <v>675178</v>
      </c>
      <c r="T24" s="82">
        <v>675827</v>
      </c>
      <c r="U24" s="82">
        <v>689377</v>
      </c>
      <c r="V24" s="82">
        <v>1791874</v>
      </c>
      <c r="W24" s="82">
        <v>3832256</v>
      </c>
      <c r="X24" s="82">
        <v>702812</v>
      </c>
      <c r="Y24" s="82">
        <v>663470</v>
      </c>
      <c r="Z24" s="82">
        <v>720705</v>
      </c>
      <c r="AA24" s="82">
        <v>2067694</v>
      </c>
      <c r="AB24" s="82">
        <v>4154681</v>
      </c>
      <c r="AC24" s="82">
        <v>699454</v>
      </c>
      <c r="AD24" s="82">
        <v>685516</v>
      </c>
      <c r="AE24" s="82">
        <v>724123</v>
      </c>
      <c r="AF24" s="82">
        <v>1709644</v>
      </c>
      <c r="AG24" s="82">
        <v>3818737</v>
      </c>
      <c r="AH24" s="82">
        <v>665651</v>
      </c>
      <c r="AI24" s="82">
        <v>752424</v>
      </c>
      <c r="AJ24" s="82">
        <v>705425</v>
      </c>
      <c r="AK24" s="82">
        <v>1484269</v>
      </c>
      <c r="AL24" s="82">
        <v>3607769</v>
      </c>
      <c r="AM24" s="82">
        <v>730868</v>
      </c>
    </row>
    <row r="25" spans="4:39">
      <c r="D25" s="37" t="s">
        <v>49</v>
      </c>
      <c r="E25" s="83">
        <v>0</v>
      </c>
      <c r="F25" s="83">
        <v>0</v>
      </c>
      <c r="G25" s="83">
        <v>0</v>
      </c>
      <c r="H25" s="82">
        <v>0</v>
      </c>
      <c r="I25" s="83">
        <v>0</v>
      </c>
      <c r="J25" s="83">
        <v>0</v>
      </c>
      <c r="K25" s="83">
        <v>0</v>
      </c>
      <c r="L25" s="83">
        <v>-11</v>
      </c>
      <c r="M25" s="83">
        <v>-11</v>
      </c>
      <c r="N25" s="83">
        <v>0</v>
      </c>
      <c r="O25" s="83">
        <v>0</v>
      </c>
      <c r="P25" s="83">
        <v>0</v>
      </c>
      <c r="Q25" s="83">
        <v>-14</v>
      </c>
      <c r="R25" s="83">
        <v>-14</v>
      </c>
      <c r="S25" s="83">
        <v>0</v>
      </c>
      <c r="T25" s="83">
        <v>0</v>
      </c>
      <c r="U25" s="83">
        <v>0</v>
      </c>
      <c r="V25" s="83">
        <v>-19</v>
      </c>
      <c r="W25" s="83">
        <v>-19</v>
      </c>
      <c r="X25" s="83">
        <v>0</v>
      </c>
      <c r="Y25" s="83">
        <v>0</v>
      </c>
      <c r="Z25" s="83">
        <v>0</v>
      </c>
      <c r="AA25" s="83">
        <v>-3</v>
      </c>
      <c r="AB25" s="83">
        <v>-3</v>
      </c>
      <c r="AC25" s="83">
        <v>0</v>
      </c>
      <c r="AD25" s="83">
        <v>0</v>
      </c>
      <c r="AE25" s="83">
        <v>0</v>
      </c>
      <c r="AF25" s="83">
        <v>-36</v>
      </c>
      <c r="AG25" s="83">
        <v>-36</v>
      </c>
      <c r="AH25" s="83">
        <v>0</v>
      </c>
      <c r="AI25" s="83">
        <v>0</v>
      </c>
      <c r="AJ25" s="83">
        <v>0</v>
      </c>
      <c r="AK25" s="83">
        <v>21</v>
      </c>
      <c r="AL25" s="83">
        <v>21</v>
      </c>
      <c r="AM25" s="83">
        <v>0</v>
      </c>
    </row>
    <row r="26" spans="4:39">
      <c r="D26" s="3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row>
    <row r="27" spans="4:39">
      <c r="D27" s="67" t="s">
        <v>50</v>
      </c>
      <c r="E27" s="68">
        <v>21261</v>
      </c>
      <c r="F27" s="68">
        <v>573277</v>
      </c>
      <c r="G27" s="68">
        <v>-88426</v>
      </c>
      <c r="H27" s="68">
        <v>506112</v>
      </c>
      <c r="I27" s="68">
        <v>598305</v>
      </c>
      <c r="J27" s="68">
        <v>585084</v>
      </c>
      <c r="K27" s="68">
        <v>642497</v>
      </c>
      <c r="L27" s="68">
        <v>815168</v>
      </c>
      <c r="M27" s="68">
        <v>2641054</v>
      </c>
      <c r="N27" s="68">
        <v>657210</v>
      </c>
      <c r="O27" s="68">
        <v>653919</v>
      </c>
      <c r="P27" s="68">
        <v>638657</v>
      </c>
      <c r="Q27" s="68">
        <v>1144623</v>
      </c>
      <c r="R27" s="68">
        <v>3094409</v>
      </c>
      <c r="S27" s="68">
        <v>675178</v>
      </c>
      <c r="T27" s="68">
        <v>675827</v>
      </c>
      <c r="U27" s="68">
        <v>689377</v>
      </c>
      <c r="V27" s="68">
        <v>1791855</v>
      </c>
      <c r="W27" s="68">
        <v>3832237</v>
      </c>
      <c r="X27" s="68">
        <v>702812</v>
      </c>
      <c r="Y27" s="68">
        <v>663470</v>
      </c>
      <c r="Z27" s="68">
        <v>720705</v>
      </c>
      <c r="AA27" s="68">
        <v>2067691</v>
      </c>
      <c r="AB27" s="68">
        <v>4154678</v>
      </c>
      <c r="AC27" s="68">
        <v>699454</v>
      </c>
      <c r="AD27" s="68">
        <v>685516</v>
      </c>
      <c r="AE27" s="68">
        <v>724123</v>
      </c>
      <c r="AF27" s="68">
        <v>1709608</v>
      </c>
      <c r="AG27" s="68">
        <v>3818701</v>
      </c>
      <c r="AH27" s="68">
        <v>665651</v>
      </c>
      <c r="AI27" s="68">
        <v>752424</v>
      </c>
      <c r="AJ27" s="68">
        <v>705425</v>
      </c>
      <c r="AK27" s="68">
        <v>1484290</v>
      </c>
      <c r="AL27" s="68">
        <v>3607790</v>
      </c>
      <c r="AM27" s="68">
        <v>730868</v>
      </c>
    </row>
    <row r="28" spans="4:39">
      <c r="D28" s="36"/>
      <c r="E28" s="87"/>
      <c r="F28" s="87"/>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row>
    <row r="29" spans="4:39">
      <c r="D29" s="88" t="s">
        <v>51</v>
      </c>
      <c r="E29" s="89">
        <v>1.8109608999999999E-2</v>
      </c>
      <c r="F29" s="89">
        <v>0.46716999999999997</v>
      </c>
      <c r="G29" s="89">
        <v>-7.2059999999999999E-2</v>
      </c>
      <c r="H29" s="89">
        <v>0.41239999999999999</v>
      </c>
      <c r="I29" s="89">
        <v>0.48751100000000003</v>
      </c>
      <c r="J29" s="89">
        <v>0.47673900000000002</v>
      </c>
      <c r="K29" s="89">
        <v>0.52351000000000003</v>
      </c>
      <c r="L29" s="89">
        <v>0.66419600000000001</v>
      </c>
      <c r="M29" s="89">
        <v>2.1520000000000001</v>
      </c>
      <c r="N29" s="89">
        <v>0.53548200000000001</v>
      </c>
      <c r="O29" s="89">
        <v>0.53278800000000004</v>
      </c>
      <c r="P29" s="89">
        <v>0.52034800000000003</v>
      </c>
      <c r="Q29" s="89">
        <v>0.93257800000000002</v>
      </c>
      <c r="R29" s="89">
        <v>2.5213000000000001</v>
      </c>
      <c r="S29" s="89">
        <v>0.55012899999999998</v>
      </c>
      <c r="T29" s="89">
        <v>0.550651</v>
      </c>
      <c r="U29" s="89">
        <v>0.56168799999999997</v>
      </c>
      <c r="V29" s="89">
        <v>1.459865</v>
      </c>
      <c r="W29" s="89">
        <v>3.1221999999999999</v>
      </c>
      <c r="X29" s="89">
        <v>0.57262299999999999</v>
      </c>
      <c r="Y29" s="89">
        <v>0.54056599999999999</v>
      </c>
      <c r="Z29" s="89">
        <v>0.58719600000000005</v>
      </c>
      <c r="AA29" s="89">
        <v>1.6845319999999999</v>
      </c>
      <c r="AB29" s="89">
        <v>3.3847839999999998</v>
      </c>
      <c r="AC29" s="89">
        <v>0.56987699999999997</v>
      </c>
      <c r="AD29" s="89">
        <v>0.55851799999999996</v>
      </c>
      <c r="AE29" s="89">
        <v>0.58996999999999999</v>
      </c>
      <c r="AF29" s="89">
        <v>1.3927400000000001</v>
      </c>
      <c r="AG29" s="89">
        <v>3.110922</v>
      </c>
      <c r="AH29" s="89">
        <v>0.54226700000000005</v>
      </c>
      <c r="AI29" s="89">
        <v>0.61294499999999996</v>
      </c>
      <c r="AJ29" s="89">
        <v>0.57464800000000005</v>
      </c>
      <c r="AK29" s="89">
        <v>1.2091000000000001</v>
      </c>
      <c r="AL29" s="89">
        <v>2.9388809999999999</v>
      </c>
      <c r="AM29" s="89">
        <v>0.59534900000000002</v>
      </c>
    </row>
    <row r="30" spans="4:39">
      <c r="D30" s="88" t="s">
        <v>52</v>
      </c>
      <c r="E30" s="89"/>
      <c r="F30" s="89"/>
      <c r="G30" s="89"/>
      <c r="H30" s="89">
        <v>0.41220000000000001</v>
      </c>
      <c r="I30" s="89"/>
      <c r="J30" s="89"/>
      <c r="K30" s="89"/>
      <c r="L30" s="89"/>
      <c r="M30" s="89">
        <v>2.1509</v>
      </c>
      <c r="N30" s="89"/>
      <c r="O30" s="89"/>
      <c r="P30" s="89"/>
      <c r="Q30" s="89"/>
      <c r="R30" s="89">
        <v>2.5202</v>
      </c>
      <c r="S30" s="89"/>
      <c r="T30" s="89"/>
      <c r="U30" s="89"/>
      <c r="V30" s="89"/>
      <c r="W30" s="89">
        <v>3.121</v>
      </c>
      <c r="X30" s="89"/>
      <c r="Y30" s="89"/>
      <c r="Z30" s="89"/>
      <c r="AA30" s="89"/>
      <c r="AB30" s="89">
        <v>3.3836210000000002</v>
      </c>
      <c r="AC30" s="89"/>
      <c r="AD30" s="89"/>
      <c r="AE30" s="89"/>
      <c r="AF30" s="89"/>
      <c r="AG30" s="89">
        <v>3.109944</v>
      </c>
      <c r="AI30" s="89"/>
      <c r="AJ30" s="89"/>
      <c r="AK30" s="89"/>
      <c r="AL30" s="89">
        <v>2.9388550000000002</v>
      </c>
      <c r="AM30" s="89"/>
    </row>
    <row r="31" spans="4:39">
      <c r="D31" s="36"/>
      <c r="E31" s="87"/>
      <c r="F31" s="87"/>
      <c r="G31" s="87"/>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row>
    <row r="32" spans="4:39" ht="24.75">
      <c r="D32" s="38" t="s">
        <v>209</v>
      </c>
      <c r="E32" s="62">
        <v>1227130401</v>
      </c>
      <c r="F32" s="62">
        <v>1227130401</v>
      </c>
      <c r="G32" s="62">
        <v>1227130401</v>
      </c>
      <c r="H32" s="62">
        <v>1227130401</v>
      </c>
      <c r="I32" s="62">
        <v>1227263448</v>
      </c>
      <c r="J32" s="62">
        <v>1227263448</v>
      </c>
      <c r="K32" s="62">
        <v>1227286744</v>
      </c>
      <c r="L32" s="62">
        <v>1227300488</v>
      </c>
      <c r="M32" s="62">
        <v>1227253438</v>
      </c>
      <c r="N32" s="62">
        <v>1227324227</v>
      </c>
      <c r="O32" s="62">
        <v>1227353940</v>
      </c>
      <c r="P32" s="62">
        <v>1227364432</v>
      </c>
      <c r="Q32" s="62">
        <v>1227374736</v>
      </c>
      <c r="R32" s="62">
        <v>1227301111</v>
      </c>
      <c r="S32" s="62">
        <v>1227308330</v>
      </c>
      <c r="T32" s="62">
        <v>1227323717</v>
      </c>
      <c r="U32" s="62">
        <v>1227331084</v>
      </c>
      <c r="V32" s="62">
        <v>1227411796</v>
      </c>
      <c r="W32" s="62">
        <v>1227411796</v>
      </c>
      <c r="X32" s="62">
        <v>1227355729</v>
      </c>
      <c r="Y32" s="62">
        <v>1227361453</v>
      </c>
      <c r="Z32" s="62">
        <v>1227366888</v>
      </c>
      <c r="AA32" s="62">
        <v>1227457224</v>
      </c>
      <c r="AB32" s="62">
        <v>1227457224</v>
      </c>
      <c r="AC32" s="62">
        <v>122377533</v>
      </c>
      <c r="AD32" s="62">
        <v>1227383275</v>
      </c>
      <c r="AE32" s="62">
        <v>1227389013</v>
      </c>
      <c r="AF32" s="62">
        <v>1227514107</v>
      </c>
      <c r="AG32" s="62">
        <v>1227514107</v>
      </c>
      <c r="AH32" s="62">
        <v>1227532668</v>
      </c>
      <c r="AI32" s="62">
        <v>1227555175</v>
      </c>
      <c r="AJ32" s="62">
        <v>1227577369</v>
      </c>
      <c r="AK32" s="62">
        <v>1227599005</v>
      </c>
      <c r="AL32" s="62">
        <v>1227599344</v>
      </c>
      <c r="AM32" s="63">
        <v>1227628878</v>
      </c>
    </row>
    <row r="33" spans="4:39" ht="3" customHeight="1">
      <c r="D33" s="39"/>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64"/>
    </row>
    <row r="34" spans="4:39" ht="27.75" customHeight="1">
      <c r="D34" s="40" t="s">
        <v>217</v>
      </c>
      <c r="E34" s="65"/>
      <c r="F34" s="65"/>
      <c r="G34" s="65"/>
      <c r="H34" s="65">
        <v>1227900401</v>
      </c>
      <c r="I34" s="65"/>
      <c r="J34" s="65"/>
      <c r="K34" s="65"/>
      <c r="L34" s="65"/>
      <c r="M34" s="65">
        <v>1227853351</v>
      </c>
      <c r="N34" s="65"/>
      <c r="O34" s="65"/>
      <c r="P34" s="65"/>
      <c r="Q34" s="65"/>
      <c r="R34" s="65">
        <v>1227826776</v>
      </c>
      <c r="S34" s="65"/>
      <c r="T34" s="65"/>
      <c r="U34" s="65"/>
      <c r="V34" s="65"/>
      <c r="W34" s="65">
        <v>1227873550</v>
      </c>
      <c r="X34" s="65"/>
      <c r="Y34" s="65"/>
      <c r="Z34" s="65"/>
      <c r="AA34" s="65"/>
      <c r="AB34" s="65">
        <v>1227879155</v>
      </c>
      <c r="AC34" s="65"/>
      <c r="AD34" s="65"/>
      <c r="AE34" s="65"/>
      <c r="AF34" s="65"/>
      <c r="AG34" s="65">
        <v>1227900401</v>
      </c>
      <c r="AH34" s="65"/>
      <c r="AI34" s="65"/>
      <c r="AJ34" s="65"/>
      <c r="AK34" s="65"/>
      <c r="AL34" s="65">
        <v>1227610468</v>
      </c>
      <c r="AM34" s="66"/>
    </row>
    <row r="35" spans="4:39">
      <c r="D35" s="9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row>
    <row r="36" spans="4:39">
      <c r="D36" s="97" t="s">
        <v>218</v>
      </c>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row>
    <row r="37" spans="4:39">
      <c r="D37" s="97" t="s">
        <v>210</v>
      </c>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row>
    <row r="38" spans="4:39">
      <c r="D38" s="97" t="s">
        <v>211</v>
      </c>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row>
    <row r="39" spans="4:39">
      <c r="D39" s="97" t="s">
        <v>212</v>
      </c>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7"/>
    </row>
    <row r="40" spans="4:39">
      <c r="D40" s="97" t="s">
        <v>213</v>
      </c>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row>
    <row r="41" spans="4:39">
      <c r="D41" s="97" t="s">
        <v>214</v>
      </c>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row>
    <row r="42" spans="4:39">
      <c r="D42" s="97" t="s">
        <v>215</v>
      </c>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row>
    <row r="43" spans="4:39">
      <c r="D43" s="97" t="s">
        <v>216</v>
      </c>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row>
    <row r="44" spans="4:39">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row>
    <row r="45" spans="4:39">
      <c r="D45" s="91" t="s">
        <v>101</v>
      </c>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row>
    <row r="46" spans="4:39">
      <c r="D46" s="36"/>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row>
    <row r="47" spans="4:39">
      <c r="D47" s="67" t="s">
        <v>151</v>
      </c>
      <c r="E47" s="68">
        <v>21261</v>
      </c>
      <c r="F47" s="68">
        <v>502970.03100000002</v>
      </c>
      <c r="G47" s="68">
        <v>502216.08</v>
      </c>
      <c r="H47" s="68">
        <v>1026447.111</v>
      </c>
      <c r="I47" s="68">
        <v>503678</v>
      </c>
      <c r="J47" s="68">
        <v>521100</v>
      </c>
      <c r="K47" s="68">
        <v>612497</v>
      </c>
      <c r="L47" s="68">
        <v>646975</v>
      </c>
      <c r="M47" s="68">
        <v>2284250</v>
      </c>
      <c r="N47" s="68">
        <v>729081</v>
      </c>
      <c r="O47" s="68">
        <v>729590</v>
      </c>
      <c r="P47" s="68">
        <v>750190</v>
      </c>
      <c r="Q47" s="68">
        <v>750469</v>
      </c>
      <c r="R47" s="68">
        <v>2959330</v>
      </c>
      <c r="S47" s="68">
        <v>753092</v>
      </c>
      <c r="T47" s="68">
        <v>754062</v>
      </c>
      <c r="U47" s="68">
        <v>791655</v>
      </c>
      <c r="V47" s="68">
        <v>792774</v>
      </c>
      <c r="W47" s="68">
        <v>3091583</v>
      </c>
      <c r="X47" s="68">
        <v>803953</v>
      </c>
      <c r="Y47" s="68">
        <v>808657</v>
      </c>
      <c r="Z47" s="68">
        <v>1014727</v>
      </c>
      <c r="AA47" s="68">
        <v>1005586</v>
      </c>
      <c r="AB47" s="68">
        <v>3632923</v>
      </c>
      <c r="AC47" s="68">
        <v>1013099</v>
      </c>
      <c r="AD47" s="68">
        <v>1014677</v>
      </c>
      <c r="AE47" s="68">
        <v>1059347</v>
      </c>
      <c r="AF47" s="68">
        <v>1003020</v>
      </c>
      <c r="AG47" s="68">
        <v>4090143</v>
      </c>
      <c r="AH47" s="68">
        <v>982181</v>
      </c>
      <c r="AI47" s="68">
        <v>984630</v>
      </c>
      <c r="AJ47" s="68">
        <v>1042850</v>
      </c>
      <c r="AK47" s="68">
        <v>1052996</v>
      </c>
      <c r="AL47" s="68">
        <v>4062657</v>
      </c>
      <c r="AM47" s="68">
        <v>1057754</v>
      </c>
    </row>
    <row r="48" spans="4:39">
      <c r="D48" s="36"/>
      <c r="E48" s="71"/>
      <c r="F48" s="71"/>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row>
    <row r="49" spans="4:39">
      <c r="D49" s="36" t="s">
        <v>152</v>
      </c>
      <c r="E49" s="71">
        <v>19649</v>
      </c>
      <c r="F49" s="71">
        <v>450091.01299999998</v>
      </c>
      <c r="G49" s="79">
        <v>-233684.25700000001</v>
      </c>
      <c r="H49" s="79">
        <v>236055.75599999996</v>
      </c>
      <c r="I49" s="79">
        <v>442900</v>
      </c>
      <c r="J49" s="79">
        <v>426611</v>
      </c>
      <c r="K49" s="79">
        <v>539473</v>
      </c>
      <c r="L49" s="79">
        <v>741129</v>
      </c>
      <c r="M49" s="79">
        <v>2150113</v>
      </c>
      <c r="N49" s="79">
        <v>644548</v>
      </c>
      <c r="O49" s="79">
        <v>644253</v>
      </c>
      <c r="P49" s="79">
        <v>624900</v>
      </c>
      <c r="Q49" s="79">
        <v>1132386</v>
      </c>
      <c r="R49" s="79">
        <v>3046087</v>
      </c>
      <c r="S49" s="79">
        <v>660818</v>
      </c>
      <c r="T49" s="79">
        <v>662972</v>
      </c>
      <c r="U49" s="79">
        <v>674198</v>
      </c>
      <c r="V49" s="79">
        <v>1772908</v>
      </c>
      <c r="W49" s="79">
        <v>3770896</v>
      </c>
      <c r="X49" s="79">
        <v>685962</v>
      </c>
      <c r="Y49" s="79">
        <v>689751</v>
      </c>
      <c r="Z49" s="79">
        <v>875166</v>
      </c>
      <c r="AA49" s="79">
        <v>2232737</v>
      </c>
      <c r="AB49" s="79">
        <v>4483616</v>
      </c>
      <c r="AC49" s="79">
        <v>874991</v>
      </c>
      <c r="AD49" s="79">
        <v>872254</v>
      </c>
      <c r="AE49" s="79">
        <v>905915</v>
      </c>
      <c r="AF49" s="79">
        <v>1932987</v>
      </c>
      <c r="AG49" s="79">
        <v>4586147</v>
      </c>
      <c r="AH49" s="79">
        <v>833145</v>
      </c>
      <c r="AI49" s="79">
        <v>839575</v>
      </c>
      <c r="AJ49" s="79">
        <v>891711</v>
      </c>
      <c r="AK49" s="79">
        <v>1663818</v>
      </c>
      <c r="AL49" s="79">
        <v>4228249</v>
      </c>
      <c r="AM49" s="79">
        <v>901092</v>
      </c>
    </row>
    <row r="50" spans="4:39">
      <c r="D50" s="36" t="s">
        <v>153</v>
      </c>
      <c r="E50" s="83">
        <v>0</v>
      </c>
      <c r="F50" s="83">
        <v>0</v>
      </c>
      <c r="G50" s="79">
        <v>679535.6</v>
      </c>
      <c r="H50" s="79">
        <v>679535.6</v>
      </c>
      <c r="I50" s="83">
        <v>0</v>
      </c>
      <c r="J50" s="83">
        <v>0</v>
      </c>
      <c r="K50" s="83">
        <v>0</v>
      </c>
      <c r="L50" s="79">
        <v>-158595</v>
      </c>
      <c r="M50" s="79">
        <v>-158595</v>
      </c>
      <c r="N50" s="83">
        <v>0</v>
      </c>
      <c r="O50" s="83">
        <v>0</v>
      </c>
      <c r="P50" s="83">
        <v>0</v>
      </c>
      <c r="Q50" s="79">
        <v>-473856</v>
      </c>
      <c r="R50" s="79">
        <v>-473856</v>
      </c>
      <c r="S50" s="83">
        <v>0</v>
      </c>
      <c r="T50" s="83">
        <v>0</v>
      </c>
      <c r="U50" s="83">
        <v>0</v>
      </c>
      <c r="V50" s="79">
        <v>-1105419</v>
      </c>
      <c r="W50" s="79">
        <v>-1105419</v>
      </c>
      <c r="X50" s="83">
        <v>0</v>
      </c>
      <c r="Y50" s="83">
        <v>0</v>
      </c>
      <c r="Z50" s="83">
        <v>0</v>
      </c>
      <c r="AA50" s="79">
        <v>-1371025</v>
      </c>
      <c r="AB50" s="79">
        <v>-1371025</v>
      </c>
      <c r="AC50" s="83">
        <v>0</v>
      </c>
      <c r="AD50" s="83">
        <v>0</v>
      </c>
      <c r="AE50" s="83">
        <v>0</v>
      </c>
      <c r="AF50" s="79">
        <v>-1078666</v>
      </c>
      <c r="AG50" s="79">
        <v>-1078666</v>
      </c>
      <c r="AH50" s="83">
        <v>0</v>
      </c>
      <c r="AI50" s="83">
        <v>0</v>
      </c>
      <c r="AJ50" s="83">
        <v>0</v>
      </c>
      <c r="AK50" s="79">
        <v>-776753</v>
      </c>
      <c r="AL50" s="79">
        <v>-776753</v>
      </c>
      <c r="AM50" s="83">
        <v>0</v>
      </c>
    </row>
    <row r="51" spans="4:39">
      <c r="D51" s="36" t="s">
        <v>156</v>
      </c>
      <c r="E51" s="83">
        <v>0</v>
      </c>
      <c r="F51" s="71">
        <v>0.86899999999999999</v>
      </c>
      <c r="G51" s="79">
        <v>5.7480000000000002</v>
      </c>
      <c r="H51" s="79">
        <v>6.617</v>
      </c>
      <c r="I51" s="79">
        <f>20+585</f>
        <v>605</v>
      </c>
      <c r="J51" s="79">
        <f>28+585</f>
        <v>613</v>
      </c>
      <c r="K51" s="79">
        <f>32+585</f>
        <v>617</v>
      </c>
      <c r="L51" s="79">
        <v>1043</v>
      </c>
      <c r="M51" s="79">
        <v>2881</v>
      </c>
      <c r="N51" s="79">
        <f>35+697</f>
        <v>732</v>
      </c>
      <c r="O51" s="79">
        <f>38+695</f>
        <v>733</v>
      </c>
      <c r="P51" s="79">
        <f>38+698</f>
        <v>736</v>
      </c>
      <c r="Q51" s="79">
        <v>732</v>
      </c>
      <c r="R51" s="79">
        <v>2935</v>
      </c>
      <c r="S51" s="79">
        <v>737</v>
      </c>
      <c r="T51" s="79">
        <v>738</v>
      </c>
      <c r="U51" s="79">
        <v>738</v>
      </c>
      <c r="V51" s="79">
        <v>733</v>
      </c>
      <c r="W51" s="79">
        <v>2946</v>
      </c>
      <c r="X51" s="79">
        <v>672</v>
      </c>
      <c r="Y51" s="79">
        <v>673</v>
      </c>
      <c r="Z51" s="79">
        <v>675</v>
      </c>
      <c r="AA51" s="79">
        <v>669</v>
      </c>
      <c r="AB51" s="79">
        <v>2689</v>
      </c>
      <c r="AC51" s="79">
        <v>726</v>
      </c>
      <c r="AD51" s="79">
        <v>762</v>
      </c>
      <c r="AE51" s="79">
        <v>758</v>
      </c>
      <c r="AF51" s="79">
        <v>1552</v>
      </c>
      <c r="AG51" s="79">
        <v>3798</v>
      </c>
      <c r="AH51" s="79">
        <v>778</v>
      </c>
      <c r="AI51" s="79">
        <v>780</v>
      </c>
      <c r="AJ51" s="79">
        <v>789</v>
      </c>
      <c r="AK51" s="79">
        <v>856</v>
      </c>
      <c r="AL51" s="79">
        <v>3203</v>
      </c>
      <c r="AM51" s="79">
        <v>827</v>
      </c>
    </row>
    <row r="52" spans="4:39">
      <c r="D52" s="36" t="s">
        <v>154</v>
      </c>
      <c r="E52" s="83">
        <v>0</v>
      </c>
      <c r="F52" s="83">
        <v>0</v>
      </c>
      <c r="G52" s="83">
        <v>0</v>
      </c>
      <c r="H52" s="83">
        <v>0</v>
      </c>
      <c r="I52" s="83">
        <v>0</v>
      </c>
      <c r="J52" s="83">
        <v>0</v>
      </c>
      <c r="K52" s="83">
        <v>0</v>
      </c>
      <c r="L52" s="83">
        <v>0</v>
      </c>
      <c r="M52" s="83">
        <v>0</v>
      </c>
      <c r="N52" s="83">
        <v>0</v>
      </c>
      <c r="O52" s="83">
        <v>0</v>
      </c>
      <c r="P52" s="79">
        <v>20000</v>
      </c>
      <c r="Q52" s="79">
        <v>20000</v>
      </c>
      <c r="R52" s="79">
        <v>40000</v>
      </c>
      <c r="S52" s="83">
        <v>0</v>
      </c>
      <c r="T52" s="83">
        <v>0</v>
      </c>
      <c r="U52" s="79">
        <v>20000</v>
      </c>
      <c r="V52" s="79">
        <v>20000</v>
      </c>
      <c r="W52" s="79">
        <v>40000</v>
      </c>
      <c r="X52" s="79">
        <v>10750</v>
      </c>
      <c r="Y52" s="79">
        <v>10750</v>
      </c>
      <c r="Z52" s="79">
        <v>10750</v>
      </c>
      <c r="AA52" s="79">
        <v>10750</v>
      </c>
      <c r="AB52" s="79">
        <v>43000</v>
      </c>
      <c r="AC52" s="79">
        <v>11750</v>
      </c>
      <c r="AD52" s="79">
        <v>11390</v>
      </c>
      <c r="AE52" s="79">
        <v>11930</v>
      </c>
      <c r="AF52" s="79">
        <v>11930</v>
      </c>
      <c r="AG52" s="79">
        <v>47000</v>
      </c>
      <c r="AH52" s="79">
        <v>13750</v>
      </c>
      <c r="AI52" s="79">
        <v>13750</v>
      </c>
      <c r="AJ52" s="79">
        <v>13750</v>
      </c>
      <c r="AK52" s="79">
        <v>13450</v>
      </c>
      <c r="AL52" s="79">
        <v>54700</v>
      </c>
      <c r="AM52" s="79">
        <v>14250</v>
      </c>
    </row>
    <row r="53" spans="4:39">
      <c r="D53" s="36" t="s">
        <v>155</v>
      </c>
      <c r="E53" s="83">
        <v>0</v>
      </c>
      <c r="F53" s="83">
        <v>0</v>
      </c>
      <c r="G53" s="83">
        <v>0</v>
      </c>
      <c r="H53" s="83">
        <v>0</v>
      </c>
      <c r="I53" s="83">
        <v>0</v>
      </c>
      <c r="J53" s="83">
        <v>0</v>
      </c>
      <c r="K53" s="83">
        <v>0</v>
      </c>
      <c r="L53" s="83">
        <v>0</v>
      </c>
      <c r="M53" s="83">
        <v>0</v>
      </c>
      <c r="N53" s="83">
        <v>0</v>
      </c>
      <c r="O53" s="83">
        <v>0</v>
      </c>
      <c r="P53" s="83">
        <v>0</v>
      </c>
      <c r="Q53" s="83">
        <v>0</v>
      </c>
      <c r="R53" s="83">
        <v>0</v>
      </c>
      <c r="S53" s="83">
        <v>0</v>
      </c>
      <c r="T53" s="83">
        <v>0</v>
      </c>
      <c r="U53" s="83">
        <v>0</v>
      </c>
      <c r="V53" s="83">
        <v>0</v>
      </c>
      <c r="W53" s="83">
        <v>0</v>
      </c>
      <c r="X53" s="83">
        <v>0</v>
      </c>
      <c r="Y53" s="83">
        <v>0</v>
      </c>
      <c r="Z53" s="83">
        <v>0</v>
      </c>
      <c r="AA53" s="83">
        <v>0</v>
      </c>
      <c r="AB53" s="83">
        <v>0</v>
      </c>
      <c r="AC53" s="83">
        <v>0</v>
      </c>
      <c r="AD53" s="83">
        <v>0</v>
      </c>
      <c r="AE53" s="83">
        <v>0</v>
      </c>
      <c r="AF53" s="83">
        <v>0</v>
      </c>
      <c r="AG53" s="83">
        <v>0</v>
      </c>
      <c r="AH53" s="83">
        <v>0</v>
      </c>
      <c r="AI53" s="79">
        <v>516</v>
      </c>
      <c r="AJ53" s="79">
        <v>535</v>
      </c>
      <c r="AK53" s="79">
        <v>561</v>
      </c>
      <c r="AL53" s="79">
        <v>4558</v>
      </c>
      <c r="AM53" s="79">
        <v>634</v>
      </c>
    </row>
    <row r="54" spans="4:39">
      <c r="D54" s="67" t="s">
        <v>221</v>
      </c>
      <c r="E54" s="70">
        <v>19649</v>
      </c>
      <c r="F54" s="70">
        <v>450091.88199999998</v>
      </c>
      <c r="G54" s="61">
        <v>445857.09100000001</v>
      </c>
      <c r="H54" s="61">
        <v>915597.97299999988</v>
      </c>
      <c r="I54" s="61">
        <v>443505</v>
      </c>
      <c r="J54" s="61">
        <v>427224</v>
      </c>
      <c r="K54" s="61">
        <v>540090</v>
      </c>
      <c r="L54" s="61">
        <v>583577</v>
      </c>
      <c r="M54" s="61">
        <v>1994399</v>
      </c>
      <c r="N54" s="61">
        <v>645280</v>
      </c>
      <c r="O54" s="61">
        <v>644986</v>
      </c>
      <c r="P54" s="61">
        <v>645636</v>
      </c>
      <c r="Q54" s="61">
        <v>679262</v>
      </c>
      <c r="R54" s="61">
        <v>2615166</v>
      </c>
      <c r="S54" s="61">
        <v>661555</v>
      </c>
      <c r="T54" s="61">
        <v>663710</v>
      </c>
      <c r="U54" s="61">
        <v>694936</v>
      </c>
      <c r="V54" s="61">
        <v>688222</v>
      </c>
      <c r="W54" s="61">
        <v>2708423</v>
      </c>
      <c r="X54" s="61">
        <v>697384</v>
      </c>
      <c r="Y54" s="61">
        <v>701174</v>
      </c>
      <c r="Z54" s="61">
        <v>886591</v>
      </c>
      <c r="AA54" s="61">
        <v>873131</v>
      </c>
      <c r="AB54" s="61">
        <v>3158280</v>
      </c>
      <c r="AC54" s="61">
        <v>887467</v>
      </c>
      <c r="AD54" s="61">
        <v>884406</v>
      </c>
      <c r="AE54" s="61">
        <v>918603</v>
      </c>
      <c r="AF54" s="61">
        <v>867803</v>
      </c>
      <c r="AG54" s="61">
        <v>3558279</v>
      </c>
      <c r="AH54" s="61">
        <v>847673</v>
      </c>
      <c r="AI54" s="61">
        <v>854621</v>
      </c>
      <c r="AJ54" s="61">
        <v>906785</v>
      </c>
      <c r="AK54" s="61">
        <v>901932</v>
      </c>
      <c r="AL54" s="61">
        <v>3513957</v>
      </c>
      <c r="AM54" s="61">
        <v>916803</v>
      </c>
    </row>
    <row r="55" spans="4:39">
      <c r="D55" s="93" t="s">
        <v>222</v>
      </c>
      <c r="E55" s="69">
        <v>92.418042425097596</v>
      </c>
      <c r="F55" s="69">
        <v>89.486819146089431</v>
      </c>
      <c r="G55" s="69">
        <v>88.777940164719539</v>
      </c>
      <c r="H55" s="69">
        <v>89.200696576367477</v>
      </c>
      <c r="I55" s="69">
        <v>88.053280071791889</v>
      </c>
      <c r="J55" s="69">
        <v>81.985031663788149</v>
      </c>
      <c r="K55" s="69">
        <v>88.178391077833851</v>
      </c>
      <c r="L55" s="69">
        <v>90.200857838401788</v>
      </c>
      <c r="M55" s="69">
        <v>87.310889788770936</v>
      </c>
      <c r="N55" s="69">
        <v>88.505941040844576</v>
      </c>
      <c r="O55" s="69">
        <v>88.403898079743414</v>
      </c>
      <c r="P55" s="69">
        <v>86.062997373998584</v>
      </c>
      <c r="Q55" s="69">
        <v>90.511666704420833</v>
      </c>
      <c r="R55" s="69">
        <v>88.370205418118289</v>
      </c>
      <c r="S55" s="69">
        <v>87.845176950492103</v>
      </c>
      <c r="T55" s="69">
        <v>88.017961387790393</v>
      </c>
      <c r="U55" s="69">
        <v>87.78268311322482</v>
      </c>
      <c r="V55" s="69">
        <v>86.811878290660388</v>
      </c>
      <c r="W55" s="69">
        <v>87.606349239208527</v>
      </c>
      <c r="X55" s="69">
        <v>86.744374360192694</v>
      </c>
      <c r="Y55" s="69">
        <v>86.708456119219889</v>
      </c>
      <c r="Z55" s="69">
        <v>87.372367148996716</v>
      </c>
      <c r="AA55" s="69">
        <v>86.828078354312808</v>
      </c>
      <c r="AB55" s="69">
        <v>86.934955681692131</v>
      </c>
      <c r="AC55" s="69">
        <v>87.599237586849853</v>
      </c>
      <c r="AD55" s="69">
        <v>87.16133311388748</v>
      </c>
      <c r="AE55" s="69">
        <v>86.714079522573812</v>
      </c>
      <c r="AF55" s="69">
        <v>86.519012582002347</v>
      </c>
      <c r="AG55" s="69">
        <v>86.996444867575534</v>
      </c>
      <c r="AH55" s="69">
        <v>86.305171857325689</v>
      </c>
      <c r="AI55" s="69">
        <v>86.796156932045548</v>
      </c>
      <c r="AJ55" s="69">
        <v>86.952581866999097</v>
      </c>
      <c r="AK55" s="69">
        <v>85.653886624450621</v>
      </c>
      <c r="AL55" s="69">
        <v>86.494060414157531</v>
      </c>
      <c r="AM55" s="69">
        <v>86.674500876385252</v>
      </c>
    </row>
    <row r="56" spans="4:39">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row>
    <row r="57" spans="4:39">
      <c r="D57" s="91" t="s">
        <v>102</v>
      </c>
      <c r="E57" s="92"/>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row>
    <row r="58" spans="4:39">
      <c r="D58" s="36"/>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row>
    <row r="59" spans="4:39">
      <c r="D59" s="37" t="s">
        <v>144</v>
      </c>
      <c r="E59" s="79">
        <v>21260.681</v>
      </c>
      <c r="F59" s="79">
        <v>573277.31900000002</v>
      </c>
      <c r="G59" s="79">
        <v>-88427.345000000001</v>
      </c>
      <c r="H59" s="79">
        <v>506110.65500000003</v>
      </c>
      <c r="I59" s="79">
        <v>598305</v>
      </c>
      <c r="J59" s="79">
        <v>585084</v>
      </c>
      <c r="K59" s="79">
        <v>642497</v>
      </c>
      <c r="L59" s="79">
        <v>815168</v>
      </c>
      <c r="M59" s="79">
        <v>2641054</v>
      </c>
      <c r="N59" s="79">
        <v>657210</v>
      </c>
      <c r="O59" s="79">
        <v>653919</v>
      </c>
      <c r="P59" s="79">
        <v>638657</v>
      </c>
      <c r="Q59" s="79">
        <v>1144623</v>
      </c>
      <c r="R59" s="79">
        <v>3094409</v>
      </c>
      <c r="S59" s="79">
        <v>675178</v>
      </c>
      <c r="T59" s="79">
        <v>675827</v>
      </c>
      <c r="U59" s="79">
        <v>689377</v>
      </c>
      <c r="V59" s="79">
        <v>1791855</v>
      </c>
      <c r="W59" s="79">
        <v>3832237</v>
      </c>
      <c r="X59" s="79">
        <v>702812</v>
      </c>
      <c r="Y59" s="79">
        <v>663470</v>
      </c>
      <c r="Z59" s="79">
        <v>720705</v>
      </c>
      <c r="AA59" s="79">
        <v>2067691</v>
      </c>
      <c r="AB59" s="79">
        <v>4154678</v>
      </c>
      <c r="AC59" s="79">
        <v>699454</v>
      </c>
      <c r="AD59" s="79">
        <v>685516</v>
      </c>
      <c r="AE59" s="79">
        <v>724123</v>
      </c>
      <c r="AF59" s="79">
        <v>1709608</v>
      </c>
      <c r="AG59" s="79">
        <v>3818701</v>
      </c>
      <c r="AH59" s="79">
        <v>665651</v>
      </c>
      <c r="AI59" s="79">
        <v>752424</v>
      </c>
      <c r="AJ59" s="79">
        <v>705425</v>
      </c>
      <c r="AK59" s="79">
        <v>1484290</v>
      </c>
      <c r="AL59" s="79">
        <v>3607790</v>
      </c>
      <c r="AM59" s="79">
        <v>730868</v>
      </c>
    </row>
    <row r="60" spans="4:39">
      <c r="D60" s="37" t="s">
        <v>145</v>
      </c>
      <c r="E60" s="86">
        <v>0</v>
      </c>
      <c r="F60" s="86">
        <v>0</v>
      </c>
      <c r="G60" s="86">
        <v>0</v>
      </c>
      <c r="H60" s="86">
        <v>0</v>
      </c>
      <c r="I60" s="86">
        <v>0</v>
      </c>
      <c r="J60" s="86">
        <v>0</v>
      </c>
      <c r="K60" s="86">
        <v>0</v>
      </c>
      <c r="L60" s="86">
        <v>0</v>
      </c>
      <c r="M60" s="86">
        <v>0</v>
      </c>
      <c r="N60" s="86">
        <v>0</v>
      </c>
      <c r="O60" s="86">
        <v>0</v>
      </c>
      <c r="P60" s="86">
        <v>0</v>
      </c>
      <c r="Q60" s="86">
        <v>0</v>
      </c>
      <c r="R60" s="86">
        <v>0</v>
      </c>
      <c r="S60" s="86">
        <v>0</v>
      </c>
      <c r="T60" s="86">
        <v>0</v>
      </c>
      <c r="U60" s="86">
        <v>0</v>
      </c>
      <c r="V60" s="86">
        <v>0</v>
      </c>
      <c r="W60" s="86">
        <v>0</v>
      </c>
      <c r="X60" s="86">
        <v>0</v>
      </c>
      <c r="Y60" s="79">
        <v>7427</v>
      </c>
      <c r="Z60" s="79">
        <v>16204</v>
      </c>
      <c r="AA60" s="79">
        <v>15529</v>
      </c>
      <c r="AB60" s="79">
        <v>39160</v>
      </c>
      <c r="AC60" s="79">
        <v>15565</v>
      </c>
      <c r="AD60" s="79">
        <v>15268</v>
      </c>
      <c r="AE60" s="79">
        <v>16727</v>
      </c>
      <c r="AF60" s="79">
        <v>33895</v>
      </c>
      <c r="AG60" s="79">
        <v>81455</v>
      </c>
      <c r="AH60" s="79">
        <v>2846</v>
      </c>
      <c r="AI60" s="79">
        <v>2427</v>
      </c>
      <c r="AJ60" s="79">
        <v>3042</v>
      </c>
      <c r="AK60" s="79">
        <v>2343</v>
      </c>
      <c r="AL60" s="79">
        <v>10658</v>
      </c>
      <c r="AM60" s="79">
        <v>2245</v>
      </c>
    </row>
    <row r="61" spans="4:39">
      <c r="D61" s="94" t="s">
        <v>219</v>
      </c>
      <c r="E61" s="86">
        <v>0</v>
      </c>
      <c r="F61" s="86">
        <v>0</v>
      </c>
      <c r="G61" s="86">
        <v>0</v>
      </c>
      <c r="H61" s="86">
        <v>0</v>
      </c>
      <c r="I61" s="86">
        <v>0</v>
      </c>
      <c r="J61" s="86">
        <v>0</v>
      </c>
      <c r="K61" s="86">
        <v>0</v>
      </c>
      <c r="L61" s="95">
        <v>-158595</v>
      </c>
      <c r="M61" s="95">
        <v>-158595</v>
      </c>
      <c r="N61" s="86">
        <v>0</v>
      </c>
      <c r="O61" s="86">
        <v>0</v>
      </c>
      <c r="P61" s="86">
        <v>0</v>
      </c>
      <c r="Q61" s="95">
        <v>-473856</v>
      </c>
      <c r="R61" s="95">
        <v>-473856</v>
      </c>
      <c r="S61" s="86">
        <v>0</v>
      </c>
      <c r="T61" s="86">
        <v>0</v>
      </c>
      <c r="U61" s="86">
        <v>0</v>
      </c>
      <c r="V61" s="95">
        <v>-1105419</v>
      </c>
      <c r="W61" s="95">
        <v>-1105419</v>
      </c>
      <c r="X61" s="86">
        <v>0</v>
      </c>
      <c r="Y61" s="86">
        <v>0</v>
      </c>
      <c r="Z61" s="86">
        <v>0</v>
      </c>
      <c r="AA61" s="95">
        <v>-1371025</v>
      </c>
      <c r="AB61" s="95">
        <v>-1371025</v>
      </c>
      <c r="AC61" s="86">
        <v>0</v>
      </c>
      <c r="AD61" s="86">
        <v>0</v>
      </c>
      <c r="AE61" s="86">
        <v>0</v>
      </c>
      <c r="AF61" s="95">
        <v>-1078666</v>
      </c>
      <c r="AG61" s="95">
        <v>-1078666</v>
      </c>
      <c r="AH61" s="86">
        <v>0</v>
      </c>
      <c r="AI61" s="86">
        <v>0</v>
      </c>
      <c r="AJ61" s="86">
        <v>0</v>
      </c>
      <c r="AK61" s="95">
        <v>-776753</v>
      </c>
      <c r="AL61" s="95">
        <v>-776753</v>
      </c>
      <c r="AM61" s="86">
        <v>0</v>
      </c>
    </row>
    <row r="62" spans="4:39">
      <c r="D62" s="37" t="s">
        <v>146</v>
      </c>
      <c r="E62" s="86">
        <v>0</v>
      </c>
      <c r="F62" s="86">
        <v>0</v>
      </c>
      <c r="G62" s="79">
        <v>679535.6</v>
      </c>
      <c r="H62" s="79">
        <v>679535.6</v>
      </c>
      <c r="I62" s="86">
        <v>0</v>
      </c>
      <c r="J62" s="86">
        <v>0</v>
      </c>
      <c r="K62" s="86">
        <v>0</v>
      </c>
      <c r="L62" s="86">
        <v>0</v>
      </c>
      <c r="M62" s="86">
        <v>0</v>
      </c>
      <c r="N62" s="86">
        <v>0</v>
      </c>
      <c r="O62" s="86">
        <v>0</v>
      </c>
      <c r="P62" s="86">
        <v>0</v>
      </c>
      <c r="Q62" s="86">
        <v>0</v>
      </c>
      <c r="R62" s="86">
        <v>0</v>
      </c>
      <c r="S62" s="86">
        <v>0</v>
      </c>
      <c r="T62" s="86">
        <v>0</v>
      </c>
      <c r="U62" s="86">
        <v>0</v>
      </c>
      <c r="V62" s="86">
        <v>0</v>
      </c>
      <c r="W62" s="86">
        <v>0</v>
      </c>
      <c r="X62" s="86">
        <v>0</v>
      </c>
      <c r="Y62" s="86">
        <v>0</v>
      </c>
      <c r="Z62" s="86">
        <v>0</v>
      </c>
      <c r="AA62" s="86">
        <v>0</v>
      </c>
      <c r="AB62" s="86">
        <v>0</v>
      </c>
      <c r="AC62" s="86">
        <v>0</v>
      </c>
      <c r="AD62" s="86">
        <v>0</v>
      </c>
      <c r="AE62" s="79">
        <v>10028</v>
      </c>
      <c r="AF62" s="79">
        <v>36153</v>
      </c>
      <c r="AG62" s="79">
        <v>46181</v>
      </c>
      <c r="AH62" s="79">
        <v>87864</v>
      </c>
      <c r="AI62" s="79">
        <v>7494</v>
      </c>
      <c r="AJ62" s="95">
        <v>77414</v>
      </c>
      <c r="AK62" s="79">
        <v>60988</v>
      </c>
      <c r="AL62" s="95">
        <v>233760</v>
      </c>
      <c r="AM62" s="79">
        <v>52714</v>
      </c>
    </row>
    <row r="63" spans="4:39">
      <c r="D63" s="94" t="s">
        <v>155</v>
      </c>
      <c r="E63" s="86">
        <v>0</v>
      </c>
      <c r="F63" s="86">
        <v>0</v>
      </c>
      <c r="G63" s="86">
        <v>0</v>
      </c>
      <c r="H63" s="86">
        <v>0</v>
      </c>
      <c r="I63" s="86">
        <v>0</v>
      </c>
      <c r="J63" s="95">
        <v>17659</v>
      </c>
      <c r="K63" s="95">
        <v>-17659</v>
      </c>
      <c r="L63" s="86">
        <v>0</v>
      </c>
      <c r="M63" s="86">
        <v>0</v>
      </c>
      <c r="N63" s="86">
        <v>0</v>
      </c>
      <c r="O63" s="86">
        <v>0</v>
      </c>
      <c r="P63" s="86">
        <v>0</v>
      </c>
      <c r="Q63" s="86">
        <v>0</v>
      </c>
      <c r="R63" s="86">
        <v>0</v>
      </c>
      <c r="S63" s="86">
        <v>0</v>
      </c>
      <c r="T63" s="86">
        <v>0</v>
      </c>
      <c r="U63" s="86">
        <v>0</v>
      </c>
      <c r="V63" s="86">
        <v>0</v>
      </c>
      <c r="W63" s="86">
        <v>0</v>
      </c>
      <c r="X63" s="86">
        <v>0</v>
      </c>
      <c r="Y63" s="86">
        <v>0</v>
      </c>
      <c r="Z63" s="86">
        <v>0</v>
      </c>
      <c r="AA63" s="86">
        <v>0</v>
      </c>
      <c r="AB63" s="86">
        <v>0</v>
      </c>
      <c r="AC63" s="86">
        <v>0</v>
      </c>
      <c r="AD63" s="86">
        <v>0</v>
      </c>
      <c r="AE63" s="86">
        <v>0</v>
      </c>
      <c r="AF63" s="86">
        <v>0</v>
      </c>
      <c r="AG63" s="86">
        <v>0</v>
      </c>
      <c r="AH63" s="95">
        <v>2946</v>
      </c>
      <c r="AI63" s="95">
        <v>516</v>
      </c>
      <c r="AJ63" s="95">
        <v>535</v>
      </c>
      <c r="AK63" s="95">
        <v>561</v>
      </c>
      <c r="AL63" s="95">
        <v>4558</v>
      </c>
      <c r="AM63" s="95">
        <v>634</v>
      </c>
    </row>
    <row r="64" spans="4:39">
      <c r="D64" s="37" t="s">
        <v>147</v>
      </c>
      <c r="E64" s="86">
        <v>0</v>
      </c>
      <c r="F64" s="86">
        <v>0</v>
      </c>
      <c r="G64" s="86">
        <v>0</v>
      </c>
      <c r="H64" s="86">
        <v>0</v>
      </c>
      <c r="I64" s="86">
        <v>0</v>
      </c>
      <c r="J64" s="86">
        <v>0</v>
      </c>
      <c r="K64" s="86">
        <v>0</v>
      </c>
      <c r="L64" s="86">
        <v>0</v>
      </c>
      <c r="M64" s="86">
        <v>0</v>
      </c>
      <c r="N64" s="86">
        <v>0</v>
      </c>
      <c r="O64" s="86">
        <v>0</v>
      </c>
      <c r="P64" s="86">
        <v>0</v>
      </c>
      <c r="Q64" s="86">
        <v>0</v>
      </c>
      <c r="R64" s="86">
        <v>0</v>
      </c>
      <c r="S64" s="86">
        <v>0</v>
      </c>
      <c r="T64" s="86">
        <v>0</v>
      </c>
      <c r="U64" s="79">
        <v>20000</v>
      </c>
      <c r="V64" s="79">
        <v>20000</v>
      </c>
      <c r="W64" s="79">
        <v>40000</v>
      </c>
      <c r="X64" s="79">
        <v>10750</v>
      </c>
      <c r="Y64" s="79">
        <v>10750</v>
      </c>
      <c r="Z64" s="79">
        <v>10750</v>
      </c>
      <c r="AA64" s="79">
        <v>10750</v>
      </c>
      <c r="AB64" s="79">
        <v>43000</v>
      </c>
      <c r="AC64" s="79">
        <v>11750</v>
      </c>
      <c r="AD64" s="79">
        <v>11390</v>
      </c>
      <c r="AE64" s="79">
        <v>11930</v>
      </c>
      <c r="AF64" s="79">
        <v>11930</v>
      </c>
      <c r="AG64" s="79">
        <v>47000</v>
      </c>
      <c r="AH64" s="79">
        <v>13750</v>
      </c>
      <c r="AI64" s="79">
        <v>13750</v>
      </c>
      <c r="AJ64" s="79">
        <v>13750</v>
      </c>
      <c r="AK64" s="79">
        <v>13450</v>
      </c>
      <c r="AL64" s="79">
        <v>54700</v>
      </c>
      <c r="AM64" s="79">
        <v>14250</v>
      </c>
    </row>
    <row r="65" spans="4:41">
      <c r="D65" s="67" t="s">
        <v>103</v>
      </c>
      <c r="E65" s="61">
        <v>21260.681</v>
      </c>
      <c r="F65" s="61">
        <v>573277.31900000002</v>
      </c>
      <c r="G65" s="61">
        <v>591108.255</v>
      </c>
      <c r="H65" s="61">
        <v>1185646.2549999999</v>
      </c>
      <c r="I65" s="61">
        <v>598305</v>
      </c>
      <c r="J65" s="61">
        <v>602743</v>
      </c>
      <c r="K65" s="61">
        <v>624838</v>
      </c>
      <c r="L65" s="61">
        <v>656573</v>
      </c>
      <c r="M65" s="61">
        <v>2482459</v>
      </c>
      <c r="N65" s="61">
        <v>657210</v>
      </c>
      <c r="O65" s="61">
        <v>653919</v>
      </c>
      <c r="P65" s="61">
        <v>638657</v>
      </c>
      <c r="Q65" s="61">
        <v>670767</v>
      </c>
      <c r="R65" s="61">
        <v>2620553</v>
      </c>
      <c r="S65" s="61">
        <v>675178</v>
      </c>
      <c r="T65" s="61">
        <v>675827</v>
      </c>
      <c r="U65" s="61">
        <v>709377</v>
      </c>
      <c r="V65" s="61">
        <v>706436</v>
      </c>
      <c r="W65" s="61">
        <v>2766818</v>
      </c>
      <c r="X65" s="61">
        <v>713562</v>
      </c>
      <c r="Y65" s="61">
        <v>681647</v>
      </c>
      <c r="Z65" s="61">
        <v>747659</v>
      </c>
      <c r="AA65" s="61">
        <v>722945</v>
      </c>
      <c r="AB65" s="61">
        <v>2865813</v>
      </c>
      <c r="AC65" s="61">
        <v>726769</v>
      </c>
      <c r="AD65" s="61">
        <v>712174</v>
      </c>
      <c r="AE65" s="61">
        <v>762808</v>
      </c>
      <c r="AF65" s="61">
        <v>712920</v>
      </c>
      <c r="AG65" s="61">
        <v>2914671</v>
      </c>
      <c r="AH65" s="61">
        <v>773057</v>
      </c>
      <c r="AI65" s="61">
        <v>776611</v>
      </c>
      <c r="AJ65" s="61">
        <v>800166</v>
      </c>
      <c r="AK65" s="61">
        <v>784879</v>
      </c>
      <c r="AL65" s="61">
        <v>3134713</v>
      </c>
      <c r="AM65" s="61">
        <v>800711</v>
      </c>
    </row>
    <row r="66" spans="4:41">
      <c r="D66" s="37" t="s">
        <v>148</v>
      </c>
      <c r="E66" s="86">
        <v>0</v>
      </c>
      <c r="F66" s="86">
        <v>0</v>
      </c>
      <c r="G66" s="86">
        <v>0</v>
      </c>
      <c r="H66" s="86">
        <v>0</v>
      </c>
      <c r="I66" s="86">
        <v>0</v>
      </c>
      <c r="J66" s="86">
        <v>0</v>
      </c>
      <c r="K66" s="86">
        <v>0</v>
      </c>
      <c r="L66" s="86">
        <v>0</v>
      </c>
      <c r="M66" s="86">
        <v>0</v>
      </c>
      <c r="N66" s="86">
        <v>0</v>
      </c>
      <c r="O66" s="86">
        <v>0</v>
      </c>
      <c r="P66" s="79">
        <v>68000</v>
      </c>
      <c r="Q66" s="79">
        <v>35000</v>
      </c>
      <c r="R66" s="79">
        <v>103000</v>
      </c>
      <c r="S66" s="79">
        <v>23500</v>
      </c>
      <c r="T66" s="79">
        <v>34500</v>
      </c>
      <c r="U66" s="79">
        <v>34000</v>
      </c>
      <c r="V66" s="79">
        <v>37000</v>
      </c>
      <c r="W66" s="79">
        <v>129000</v>
      </c>
      <c r="X66" s="79">
        <v>22300</v>
      </c>
      <c r="Y66" s="79">
        <v>52000</v>
      </c>
      <c r="Z66" s="86">
        <v>0</v>
      </c>
      <c r="AA66" s="86">
        <v>0</v>
      </c>
      <c r="AB66" s="79">
        <v>74300</v>
      </c>
      <c r="AC66" s="79">
        <v>10000</v>
      </c>
      <c r="AD66" s="79">
        <v>25000</v>
      </c>
      <c r="AE66" s="86">
        <v>0</v>
      </c>
      <c r="AF66" s="79">
        <v>30000</v>
      </c>
      <c r="AG66" s="79">
        <v>65000</v>
      </c>
      <c r="AH66" s="86">
        <v>0</v>
      </c>
      <c r="AI66" s="86">
        <v>0</v>
      </c>
      <c r="AJ66" s="86">
        <v>0</v>
      </c>
      <c r="AK66" s="83">
        <v>30000</v>
      </c>
      <c r="AL66" s="83">
        <v>30000</v>
      </c>
      <c r="AM66" s="79">
        <v>22000</v>
      </c>
    </row>
    <row r="67" spans="4:41">
      <c r="D67" s="37" t="s">
        <v>149</v>
      </c>
      <c r="E67" s="86">
        <v>0</v>
      </c>
      <c r="F67" s="86">
        <v>0</v>
      </c>
      <c r="G67" s="86">
        <v>0</v>
      </c>
      <c r="H67" s="86">
        <v>0</v>
      </c>
      <c r="I67" s="86">
        <v>0</v>
      </c>
      <c r="J67" s="86">
        <v>0</v>
      </c>
      <c r="K67" s="86">
        <v>0</v>
      </c>
      <c r="L67" s="86">
        <v>0</v>
      </c>
      <c r="M67" s="86">
        <v>0</v>
      </c>
      <c r="N67" s="79">
        <v>-19800</v>
      </c>
      <c r="O67" s="79">
        <v>-17300</v>
      </c>
      <c r="P67" s="79">
        <v>-22900</v>
      </c>
      <c r="Q67" s="79">
        <v>-20000</v>
      </c>
      <c r="R67" s="79">
        <v>-80000</v>
      </c>
      <c r="S67" s="79">
        <v>-15000</v>
      </c>
      <c r="T67" s="79">
        <v>-23500</v>
      </c>
      <c r="U67" s="79">
        <v>-23500</v>
      </c>
      <c r="V67" s="79">
        <v>-23000</v>
      </c>
      <c r="W67" s="79">
        <v>-85000</v>
      </c>
      <c r="X67" s="79">
        <v>-23750</v>
      </c>
      <c r="Y67" s="79">
        <v>-20000</v>
      </c>
      <c r="Z67" s="79">
        <v>-30000</v>
      </c>
      <c r="AA67" s="79">
        <v>-21250</v>
      </c>
      <c r="AB67" s="79">
        <v>-95000</v>
      </c>
      <c r="AC67" s="79">
        <v>-25000</v>
      </c>
      <c r="AD67" s="79">
        <v>-25000</v>
      </c>
      <c r="AE67" s="79">
        <v>-25000</v>
      </c>
      <c r="AF67" s="79">
        <v>-25000</v>
      </c>
      <c r="AG67" s="79">
        <v>-100000</v>
      </c>
      <c r="AH67" s="79">
        <v>-26250</v>
      </c>
      <c r="AI67" s="79">
        <v>-26250</v>
      </c>
      <c r="AJ67" s="79">
        <v>-26250</v>
      </c>
      <c r="AK67" s="79">
        <v>-26250</v>
      </c>
      <c r="AL67" s="79">
        <v>-105000</v>
      </c>
      <c r="AM67" s="79">
        <v>-27500</v>
      </c>
    </row>
    <row r="68" spans="4:41">
      <c r="D68" s="37" t="s">
        <v>150</v>
      </c>
      <c r="E68" s="86">
        <v>0</v>
      </c>
      <c r="F68" s="86">
        <v>0</v>
      </c>
      <c r="G68" s="86">
        <v>0</v>
      </c>
      <c r="H68" s="86">
        <v>0</v>
      </c>
      <c r="I68" s="86">
        <v>0</v>
      </c>
      <c r="J68" s="86">
        <v>0</v>
      </c>
      <c r="K68" s="86">
        <v>0</v>
      </c>
      <c r="L68" s="86">
        <v>0</v>
      </c>
      <c r="M68" s="86">
        <v>0</v>
      </c>
      <c r="N68" s="86">
        <v>0</v>
      </c>
      <c r="O68" s="86">
        <v>0</v>
      </c>
      <c r="P68" s="86">
        <v>0</v>
      </c>
      <c r="Q68" s="86">
        <v>0</v>
      </c>
      <c r="R68" s="86">
        <v>0</v>
      </c>
      <c r="S68" s="86">
        <v>0</v>
      </c>
      <c r="T68" s="86">
        <v>0</v>
      </c>
      <c r="U68" s="86">
        <v>0</v>
      </c>
      <c r="V68" s="86">
        <v>0</v>
      </c>
      <c r="W68" s="86">
        <v>0</v>
      </c>
      <c r="X68" s="86">
        <v>0</v>
      </c>
      <c r="Y68" s="86">
        <v>0</v>
      </c>
      <c r="Z68" s="86">
        <v>0</v>
      </c>
      <c r="AA68" s="86">
        <v>0</v>
      </c>
      <c r="AB68" s="86">
        <v>0</v>
      </c>
      <c r="AC68" s="86">
        <v>0</v>
      </c>
      <c r="AD68" s="86">
        <v>0</v>
      </c>
      <c r="AE68" s="86">
        <v>0</v>
      </c>
      <c r="AF68" s="86">
        <v>0</v>
      </c>
      <c r="AG68" s="86">
        <v>0</v>
      </c>
      <c r="AH68" s="79">
        <v>-1500</v>
      </c>
      <c r="AI68" s="79">
        <v>-1500</v>
      </c>
      <c r="AJ68" s="79">
        <v>-1500</v>
      </c>
      <c r="AK68" s="79">
        <v>-1500</v>
      </c>
      <c r="AL68" s="79">
        <v>-6000</v>
      </c>
      <c r="AM68" s="79">
        <v>-2500</v>
      </c>
    </row>
    <row r="69" spans="4:41">
      <c r="D69" s="37" t="s">
        <v>147</v>
      </c>
      <c r="E69" s="86">
        <v>0</v>
      </c>
      <c r="F69" s="86">
        <v>0</v>
      </c>
      <c r="G69" s="86">
        <v>0</v>
      </c>
      <c r="H69" s="86">
        <v>0</v>
      </c>
      <c r="I69" s="86">
        <v>0</v>
      </c>
      <c r="J69" s="86">
        <v>0</v>
      </c>
      <c r="K69" s="86">
        <v>0</v>
      </c>
      <c r="L69" s="86">
        <v>0</v>
      </c>
      <c r="M69" s="86">
        <v>0</v>
      </c>
      <c r="N69" s="86">
        <v>0</v>
      </c>
      <c r="O69" s="86">
        <v>0</v>
      </c>
      <c r="P69" s="86">
        <v>0</v>
      </c>
      <c r="Q69" s="86">
        <v>0</v>
      </c>
      <c r="R69" s="86">
        <v>0</v>
      </c>
      <c r="S69" s="86">
        <v>0</v>
      </c>
      <c r="T69" s="86">
        <v>0</v>
      </c>
      <c r="U69" s="79">
        <v>-20000</v>
      </c>
      <c r="V69" s="79">
        <v>-20000</v>
      </c>
      <c r="W69" s="79">
        <v>-40000</v>
      </c>
      <c r="X69" s="79">
        <v>-10750</v>
      </c>
      <c r="Y69" s="86">
        <v>-10750</v>
      </c>
      <c r="Z69" s="79">
        <v>-10750</v>
      </c>
      <c r="AA69" s="79">
        <v>-10750</v>
      </c>
      <c r="AB69" s="79">
        <v>-43000</v>
      </c>
      <c r="AC69" s="79">
        <v>-11750</v>
      </c>
      <c r="AD69" s="79">
        <v>-11390</v>
      </c>
      <c r="AE69" s="79">
        <v>-11930</v>
      </c>
      <c r="AF69" s="79">
        <v>-11930</v>
      </c>
      <c r="AG69" s="79">
        <v>-47000</v>
      </c>
      <c r="AH69" s="79">
        <v>-13750</v>
      </c>
      <c r="AI69" s="79">
        <v>-13750</v>
      </c>
      <c r="AJ69" s="79">
        <v>-13750</v>
      </c>
      <c r="AK69" s="79">
        <v>-13450</v>
      </c>
      <c r="AL69" s="79">
        <v>-54700</v>
      </c>
      <c r="AM69" s="79">
        <v>-14250</v>
      </c>
    </row>
    <row r="70" spans="4:41" s="61" customFormat="1">
      <c r="D70" s="61" t="s">
        <v>104</v>
      </c>
      <c r="E70" s="61">
        <v>21260.681</v>
      </c>
      <c r="F70" s="61">
        <v>573277.31900000002</v>
      </c>
      <c r="G70" s="61">
        <v>591108.255</v>
      </c>
      <c r="H70" s="61">
        <v>1185646.2549999999</v>
      </c>
      <c r="I70" s="61">
        <v>598305</v>
      </c>
      <c r="J70" s="61">
        <v>602743</v>
      </c>
      <c r="K70" s="61">
        <v>624838</v>
      </c>
      <c r="L70" s="61">
        <v>656573</v>
      </c>
      <c r="M70" s="61">
        <v>2482459</v>
      </c>
      <c r="N70" s="61">
        <v>637410</v>
      </c>
      <c r="O70" s="61">
        <v>636619</v>
      </c>
      <c r="P70" s="61">
        <v>683757</v>
      </c>
      <c r="Q70" s="61">
        <v>685767</v>
      </c>
      <c r="R70" s="61">
        <v>2643553</v>
      </c>
      <c r="S70" s="61">
        <v>683678</v>
      </c>
      <c r="T70" s="61">
        <v>686827</v>
      </c>
      <c r="U70" s="61">
        <v>699877</v>
      </c>
      <c r="V70" s="61">
        <v>700436</v>
      </c>
      <c r="W70" s="61">
        <v>2770818</v>
      </c>
      <c r="X70" s="61">
        <v>701362</v>
      </c>
      <c r="Y70" s="61">
        <v>702897</v>
      </c>
      <c r="Z70" s="61">
        <v>706909</v>
      </c>
      <c r="AA70" s="61">
        <v>690945</v>
      </c>
      <c r="AB70" s="61">
        <v>2802113</v>
      </c>
      <c r="AC70" s="61">
        <v>700019</v>
      </c>
      <c r="AD70" s="61">
        <v>700784</v>
      </c>
      <c r="AE70" s="61">
        <v>725878</v>
      </c>
      <c r="AF70" s="61">
        <v>705990</v>
      </c>
      <c r="AG70" s="61">
        <v>2832671</v>
      </c>
      <c r="AH70" s="61">
        <v>731557</v>
      </c>
      <c r="AI70" s="61">
        <v>735111</v>
      </c>
      <c r="AJ70" s="61">
        <v>758666</v>
      </c>
      <c r="AK70" s="61">
        <v>773679</v>
      </c>
      <c r="AL70" s="61">
        <v>2999013</v>
      </c>
      <c r="AM70" s="61">
        <v>778461</v>
      </c>
      <c r="AN70" s="32"/>
      <c r="AO70" s="32"/>
    </row>
    <row r="71" spans="4:41">
      <c r="D71" s="32" t="s">
        <v>223</v>
      </c>
      <c r="E71" s="120">
        <v>1.7325527085527728E-2</v>
      </c>
      <c r="F71" s="120">
        <v>0.46716902990328574</v>
      </c>
      <c r="G71" s="120">
        <v>0.48169962582485154</v>
      </c>
      <c r="H71" s="120">
        <v>0.96619418281366498</v>
      </c>
      <c r="I71" s="120">
        <v>0.48751100000000003</v>
      </c>
      <c r="J71" s="120">
        <v>0.49112800000000001</v>
      </c>
      <c r="K71" s="120">
        <v>0.50911600000000001</v>
      </c>
      <c r="L71" s="120">
        <v>0.534968</v>
      </c>
      <c r="M71" s="120">
        <v>2.0226790000000001</v>
      </c>
      <c r="N71" s="120">
        <v>0.51934899999999995</v>
      </c>
      <c r="O71" s="120">
        <v>0.51868800000000004</v>
      </c>
      <c r="P71" s="120">
        <v>0.55708899999999995</v>
      </c>
      <c r="Q71" s="120">
        <v>0.55871000000000004</v>
      </c>
      <c r="R71" s="120">
        <v>2.1537609999999998</v>
      </c>
      <c r="S71" s="120">
        <v>0.55700300000000003</v>
      </c>
      <c r="T71" s="120">
        <v>0.55956499999999998</v>
      </c>
      <c r="U71" s="120">
        <v>0.57019299999999995</v>
      </c>
      <c r="V71" s="120">
        <v>0.57063799999999998</v>
      </c>
      <c r="W71" s="120">
        <v>2.2573560000000001</v>
      </c>
      <c r="X71" s="120">
        <v>0.57138900000000004</v>
      </c>
      <c r="Y71" s="120">
        <v>0.57263799999999998</v>
      </c>
      <c r="Z71" s="120">
        <v>0.57590300000000005</v>
      </c>
      <c r="AA71" s="120">
        <v>0.56288519999999997</v>
      </c>
      <c r="AB71" s="120">
        <v>2.2828200000000001</v>
      </c>
      <c r="AC71" s="120">
        <v>0.57027399999999995</v>
      </c>
      <c r="AD71" s="120">
        <v>0.57089000000000001</v>
      </c>
      <c r="AE71" s="120">
        <v>0.59132799999999996</v>
      </c>
      <c r="AF71" s="120">
        <v>0.57509999999999994</v>
      </c>
      <c r="AG71" s="120">
        <v>2.3074970000000001</v>
      </c>
      <c r="AH71" s="120">
        <v>0.59592199999999995</v>
      </c>
      <c r="AI71" s="120">
        <v>0.59881799999999996</v>
      </c>
      <c r="AJ71" s="120">
        <v>0.61799999999999999</v>
      </c>
      <c r="AK71" s="120">
        <v>0.63022400000000001</v>
      </c>
      <c r="AL71" s="120">
        <v>2.442939</v>
      </c>
      <c r="AM71" s="120">
        <v>0.63411399999999996</v>
      </c>
    </row>
    <row r="72" spans="4:41">
      <c r="D72" s="32" t="s">
        <v>264</v>
      </c>
      <c r="E72" s="79">
        <v>1227130401</v>
      </c>
      <c r="F72" s="79">
        <v>1227130401</v>
      </c>
      <c r="G72" s="79">
        <v>1227130401</v>
      </c>
      <c r="H72" s="79">
        <v>1227130401</v>
      </c>
      <c r="I72" s="79">
        <v>1227263448</v>
      </c>
      <c r="J72" s="79">
        <v>1227263448</v>
      </c>
      <c r="K72" s="79">
        <v>1227300488</v>
      </c>
      <c r="L72" s="79">
        <v>1227312411</v>
      </c>
      <c r="M72" s="79">
        <v>1227312411</v>
      </c>
      <c r="N72" s="79">
        <v>1227324227</v>
      </c>
      <c r="O72" s="79">
        <v>1227364432</v>
      </c>
      <c r="P72" s="79">
        <v>1227374736</v>
      </c>
      <c r="Q72" s="79">
        <v>1227412275</v>
      </c>
      <c r="R72" s="79">
        <v>1227412275</v>
      </c>
      <c r="S72" s="79">
        <v>1227422551</v>
      </c>
      <c r="T72" s="79">
        <v>1227431159</v>
      </c>
      <c r="U72" s="79">
        <v>1227438647</v>
      </c>
      <c r="V72" s="79">
        <v>1227461509</v>
      </c>
      <c r="W72" s="79">
        <v>1227461509</v>
      </c>
      <c r="X72" s="79">
        <v>1227467453</v>
      </c>
      <c r="Y72" s="79">
        <v>1227472862</v>
      </c>
      <c r="Z72" s="79">
        <v>1227478470</v>
      </c>
      <c r="AA72" s="79">
        <v>1227506114</v>
      </c>
      <c r="AB72" s="79">
        <v>1227506114</v>
      </c>
      <c r="AC72" s="79">
        <v>1227513078</v>
      </c>
      <c r="AD72" s="79">
        <v>1227528898</v>
      </c>
      <c r="AE72" s="79">
        <v>1227538204</v>
      </c>
      <c r="AF72" s="79">
        <v>1227594866</v>
      </c>
      <c r="AG72" s="79">
        <v>1227594866</v>
      </c>
      <c r="AH72" s="79">
        <v>1227604382</v>
      </c>
      <c r="AI72" s="79">
        <v>1227604382</v>
      </c>
      <c r="AJ72" s="79">
        <v>1227615146</v>
      </c>
      <c r="AK72" s="79">
        <v>1227625046</v>
      </c>
      <c r="AL72" s="79">
        <v>1227625046</v>
      </c>
      <c r="AM72" s="79">
        <v>1227636170</v>
      </c>
    </row>
    <row r="73" spans="4:41">
      <c r="E73" s="98"/>
      <c r="F73" s="98"/>
      <c r="G73" s="98"/>
      <c r="H73" s="98"/>
      <c r="I73" s="98"/>
      <c r="J73" s="98"/>
      <c r="K73" s="98"/>
      <c r="L73" s="98"/>
      <c r="M73" s="98"/>
      <c r="N73" s="98"/>
      <c r="O73" s="98"/>
      <c r="P73" s="120"/>
      <c r="Q73" s="98"/>
      <c r="R73" s="98"/>
      <c r="S73" s="98"/>
      <c r="T73" s="98"/>
      <c r="U73" s="98"/>
      <c r="V73" s="98"/>
      <c r="W73" s="98"/>
      <c r="X73" s="98"/>
      <c r="Y73" s="98"/>
      <c r="Z73" s="98"/>
      <c r="AA73" s="98"/>
      <c r="AB73" s="98"/>
      <c r="AC73" s="98"/>
      <c r="AD73" s="98"/>
      <c r="AE73" s="98"/>
      <c r="AF73" s="98"/>
      <c r="AG73" s="98"/>
      <c r="AH73" s="98"/>
      <c r="AI73" s="98"/>
      <c r="AJ73" s="98"/>
      <c r="AK73" s="98"/>
      <c r="AL73" s="98"/>
      <c r="AM73" s="98"/>
    </row>
    <row r="74" spans="4:41">
      <c r="D74" s="91" t="s">
        <v>299</v>
      </c>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row>
    <row r="75" spans="4:41">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row>
    <row r="76" spans="4:41">
      <c r="D76" s="37" t="s">
        <v>300</v>
      </c>
      <c r="E76" s="79">
        <v>353179</v>
      </c>
      <c r="F76" s="79">
        <v>353179</v>
      </c>
      <c r="G76" s="79">
        <v>353179</v>
      </c>
      <c r="H76" s="79">
        <v>353179</v>
      </c>
      <c r="I76" s="79">
        <v>357639</v>
      </c>
      <c r="J76" s="79">
        <v>408857</v>
      </c>
      <c r="K76" s="79">
        <v>408857</v>
      </c>
      <c r="L76" s="79">
        <v>449196</v>
      </c>
      <c r="M76" s="79">
        <v>449196</v>
      </c>
      <c r="N76" s="79">
        <v>449196</v>
      </c>
      <c r="O76" s="79">
        <v>449196</v>
      </c>
      <c r="P76" s="79">
        <v>449196</v>
      </c>
      <c r="Q76" s="79">
        <v>449196</v>
      </c>
      <c r="R76" s="79">
        <v>449196</v>
      </c>
      <c r="S76" s="79">
        <v>449196</v>
      </c>
      <c r="T76" s="79">
        <v>449196</v>
      </c>
      <c r="U76" s="79">
        <v>449196</v>
      </c>
      <c r="V76" s="79">
        <v>449196</v>
      </c>
      <c r="W76" s="79">
        <v>449196</v>
      </c>
      <c r="X76" s="79">
        <v>465759</v>
      </c>
      <c r="Y76" s="79">
        <v>532926</v>
      </c>
      <c r="Z76" s="79">
        <v>538382</v>
      </c>
      <c r="AA76" s="79">
        <v>538382</v>
      </c>
      <c r="AB76" s="79">
        <v>538382</v>
      </c>
      <c r="AC76" s="79">
        <v>538382</v>
      </c>
      <c r="AD76" s="79">
        <v>538382</v>
      </c>
      <c r="AE76" s="79">
        <v>538382</v>
      </c>
      <c r="AF76" s="79">
        <v>540637</v>
      </c>
      <c r="AG76" s="79">
        <v>540637</v>
      </c>
      <c r="AH76" s="79">
        <v>542235</v>
      </c>
      <c r="AI76" s="79">
        <v>544581</v>
      </c>
      <c r="AJ76" s="79">
        <v>589702</v>
      </c>
      <c r="AK76" s="79">
        <v>589702</v>
      </c>
      <c r="AL76" s="79">
        <v>589702</v>
      </c>
      <c r="AM76" s="79">
        <v>590405</v>
      </c>
    </row>
    <row r="78" spans="4:41">
      <c r="D78" s="91" t="s">
        <v>265</v>
      </c>
      <c r="E78" s="92"/>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row>
    <row r="79" spans="4:41">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row>
    <row r="80" spans="4:41">
      <c r="D80" s="37" t="s">
        <v>301</v>
      </c>
      <c r="E80" s="121">
        <f>1*100</f>
        <v>100</v>
      </c>
      <c r="F80" s="121">
        <f t="shared" ref="F80:AM80" si="0">1*100</f>
        <v>100</v>
      </c>
      <c r="G80" s="121">
        <f t="shared" si="0"/>
        <v>100</v>
      </c>
      <c r="H80" s="121">
        <f t="shared" si="0"/>
        <v>100</v>
      </c>
      <c r="I80" s="121">
        <f t="shared" si="0"/>
        <v>100</v>
      </c>
      <c r="J80" s="121">
        <f t="shared" si="0"/>
        <v>100</v>
      </c>
      <c r="K80" s="121">
        <f t="shared" si="0"/>
        <v>100</v>
      </c>
      <c r="L80" s="121">
        <f t="shared" si="0"/>
        <v>100</v>
      </c>
      <c r="M80" s="121">
        <f t="shared" si="0"/>
        <v>100</v>
      </c>
      <c r="N80" s="121">
        <f t="shared" si="0"/>
        <v>100</v>
      </c>
      <c r="O80" s="121">
        <f t="shared" si="0"/>
        <v>100</v>
      </c>
      <c r="P80" s="121">
        <f t="shared" si="0"/>
        <v>100</v>
      </c>
      <c r="Q80" s="121">
        <f t="shared" si="0"/>
        <v>100</v>
      </c>
      <c r="R80" s="121">
        <f t="shared" si="0"/>
        <v>100</v>
      </c>
      <c r="S80" s="121">
        <f t="shared" si="0"/>
        <v>100</v>
      </c>
      <c r="T80" s="121">
        <f t="shared" si="0"/>
        <v>100</v>
      </c>
      <c r="U80" s="121">
        <f t="shared" si="0"/>
        <v>100</v>
      </c>
      <c r="V80" s="121">
        <f t="shared" si="0"/>
        <v>100</v>
      </c>
      <c r="W80" s="121">
        <f t="shared" si="0"/>
        <v>100</v>
      </c>
      <c r="X80" s="121">
        <f t="shared" si="0"/>
        <v>100</v>
      </c>
      <c r="Y80" s="121">
        <f t="shared" si="0"/>
        <v>100</v>
      </c>
      <c r="Z80" s="121">
        <f t="shared" si="0"/>
        <v>100</v>
      </c>
      <c r="AA80" s="121">
        <f t="shared" si="0"/>
        <v>100</v>
      </c>
      <c r="AB80" s="121">
        <f t="shared" si="0"/>
        <v>100</v>
      </c>
      <c r="AC80" s="121">
        <f t="shared" si="0"/>
        <v>100</v>
      </c>
      <c r="AD80" s="121">
        <f t="shared" si="0"/>
        <v>100</v>
      </c>
      <c r="AE80" s="121">
        <f t="shared" si="0"/>
        <v>100</v>
      </c>
      <c r="AF80" s="121">
        <f t="shared" si="0"/>
        <v>100</v>
      </c>
      <c r="AG80" s="121">
        <f t="shared" si="0"/>
        <v>100</v>
      </c>
      <c r="AH80" s="121">
        <f t="shared" si="0"/>
        <v>100</v>
      </c>
      <c r="AI80" s="121">
        <f t="shared" si="0"/>
        <v>100</v>
      </c>
      <c r="AJ80" s="121">
        <f t="shared" si="0"/>
        <v>100</v>
      </c>
      <c r="AK80" s="121">
        <f t="shared" si="0"/>
        <v>100</v>
      </c>
      <c r="AL80" s="121">
        <f t="shared" si="0"/>
        <v>100</v>
      </c>
      <c r="AM80" s="121">
        <f t="shared" si="0"/>
        <v>100</v>
      </c>
    </row>
    <row r="83" spans="1:42">
      <c r="A83" s="31" t="s">
        <v>53</v>
      </c>
      <c r="AP83" s="31" t="s">
        <v>53</v>
      </c>
    </row>
  </sheetData>
  <hyperlinks>
    <hyperlink ref="B2" location="Indice!A1" display="Regreso al índice" xr:uid="{795A0936-E2CC-42C6-B741-7542444FC95D}"/>
  </hyperlinks>
  <pageMargins left="0.7" right="0.7" top="0.75" bottom="0.75" header="0.3" footer="0.3"/>
  <pageSetup scale="35" orientation="portrait" r:id="rId1"/>
  <colBreaks count="1" manualBreakCount="1">
    <brk id="25" min="1" max="74"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3B110-DCE7-415D-99A5-E6A53A6B0F72}">
  <dimension ref="A1:AQ52"/>
  <sheetViews>
    <sheetView showGridLines="0" view="pageBreakPreview" zoomScale="70" zoomScaleNormal="100" zoomScaleSheetLayoutView="70" workbookViewId="0"/>
  </sheetViews>
  <sheetFormatPr baseColWidth="10" defaultColWidth="9.1640625" defaultRowHeight="23.25" outlineLevelCol="1"/>
  <cols>
    <col min="1" max="2" width="1.6640625" style="8" customWidth="1"/>
    <col min="3" max="3" width="8.6640625" style="8" customWidth="1"/>
    <col min="4" max="4" width="80.6640625" style="8" customWidth="1"/>
    <col min="5" max="8" width="20.6640625" style="32" hidden="1" customWidth="1" outlineLevel="1"/>
    <col min="9" max="9" width="20.6640625" style="4" customWidth="1" collapsed="1"/>
    <col min="10" max="13" width="20.1640625" style="99" hidden="1" customWidth="1" outlineLevel="1"/>
    <col min="14" max="14" width="20.1640625" style="4" customWidth="1" collapsed="1"/>
    <col min="15" max="18" width="20.1640625" style="99" hidden="1" customWidth="1" outlineLevel="1"/>
    <col min="19" max="19" width="20.1640625" style="4" customWidth="1" collapsed="1"/>
    <col min="20" max="23" width="20.1640625" style="99" hidden="1" customWidth="1" outlineLevel="1"/>
    <col min="24" max="24" width="20.1640625" style="4" customWidth="1" collapsed="1"/>
    <col min="25" max="28" width="20.1640625" style="99" hidden="1" customWidth="1" outlineLevel="1"/>
    <col min="29" max="29" width="20.1640625" style="4" customWidth="1" collapsed="1"/>
    <col min="30" max="33" width="20.1640625" style="99" hidden="1" customWidth="1" outlineLevel="1"/>
    <col min="34" max="34" width="20.1640625" style="4" customWidth="1" collapsed="1"/>
    <col min="35" max="38" width="20.1640625" style="99" hidden="1" customWidth="1" outlineLevel="1"/>
    <col min="39" max="39" width="20.1640625" style="4" customWidth="1" collapsed="1"/>
    <col min="40" max="40" width="20.1640625" style="32" customWidth="1" outlineLevel="1"/>
    <col min="41" max="41" width="9.1640625" style="8"/>
    <col min="42" max="43" width="1.6640625" style="8" customWidth="1"/>
    <col min="44" max="16384" width="9.1640625" style="8"/>
  </cols>
  <sheetData>
    <row r="1" spans="1:43">
      <c r="A1" s="7" t="s">
        <v>53</v>
      </c>
      <c r="AQ1" s="7" t="s">
        <v>53</v>
      </c>
    </row>
    <row r="2" spans="1:43" ht="15" customHeight="1">
      <c r="B2" s="57" t="s">
        <v>112</v>
      </c>
    </row>
    <row r="3" spans="1:43" ht="15" customHeight="1">
      <c r="E3" s="33"/>
      <c r="F3" s="33"/>
      <c r="G3" s="33"/>
      <c r="H3" s="33"/>
      <c r="J3" s="123"/>
      <c r="K3" s="123"/>
      <c r="L3" s="123"/>
      <c r="M3" s="123"/>
      <c r="O3" s="123"/>
      <c r="P3" s="123"/>
      <c r="Q3" s="123"/>
      <c r="R3" s="123"/>
      <c r="T3" s="123"/>
      <c r="U3" s="123"/>
      <c r="V3" s="123"/>
      <c r="W3" s="123"/>
      <c r="Y3" s="123"/>
      <c r="Z3" s="123"/>
      <c r="AA3" s="123"/>
      <c r="AB3" s="123"/>
      <c r="AD3" s="123"/>
      <c r="AE3" s="123"/>
      <c r="AF3" s="123"/>
      <c r="AG3" s="123"/>
      <c r="AI3" s="123"/>
      <c r="AJ3" s="123"/>
      <c r="AK3" s="123"/>
      <c r="AL3" s="123"/>
      <c r="AN3" s="33"/>
    </row>
    <row r="4" spans="1:43" ht="21.75">
      <c r="C4" s="6"/>
      <c r="D4" s="58" t="s">
        <v>263</v>
      </c>
      <c r="E4" s="59" t="s">
        <v>113</v>
      </c>
      <c r="F4" s="59" t="s">
        <v>114</v>
      </c>
      <c r="G4" s="59" t="s">
        <v>115</v>
      </c>
      <c r="H4" s="59" t="s">
        <v>116</v>
      </c>
      <c r="I4" s="14">
        <v>2018</v>
      </c>
      <c r="J4" s="59" t="s">
        <v>117</v>
      </c>
      <c r="K4" s="59" t="s">
        <v>118</v>
      </c>
      <c r="L4" s="59" t="s">
        <v>119</v>
      </c>
      <c r="M4" s="59" t="s">
        <v>120</v>
      </c>
      <c r="N4" s="14">
        <v>2019</v>
      </c>
      <c r="O4" s="59" t="s">
        <v>121</v>
      </c>
      <c r="P4" s="59" t="s">
        <v>122</v>
      </c>
      <c r="Q4" s="59" t="s">
        <v>123</v>
      </c>
      <c r="R4" s="59" t="s">
        <v>124</v>
      </c>
      <c r="S4" s="14">
        <v>2020</v>
      </c>
      <c r="T4" s="59" t="s">
        <v>125</v>
      </c>
      <c r="U4" s="59" t="s">
        <v>126</v>
      </c>
      <c r="V4" s="59" t="s">
        <v>127</v>
      </c>
      <c r="W4" s="59" t="s">
        <v>128</v>
      </c>
      <c r="X4" s="14">
        <v>2021</v>
      </c>
      <c r="Y4" s="59" t="s">
        <v>129</v>
      </c>
      <c r="Z4" s="59" t="s">
        <v>130</v>
      </c>
      <c r="AA4" s="59" t="s">
        <v>131</v>
      </c>
      <c r="AB4" s="59" t="s">
        <v>132</v>
      </c>
      <c r="AC4" s="14">
        <v>2022</v>
      </c>
      <c r="AD4" s="59" t="s">
        <v>133</v>
      </c>
      <c r="AE4" s="59" t="s">
        <v>134</v>
      </c>
      <c r="AF4" s="59" t="s">
        <v>135</v>
      </c>
      <c r="AG4" s="59" t="s">
        <v>136</v>
      </c>
      <c r="AH4" s="14">
        <v>2023</v>
      </c>
      <c r="AI4" s="59" t="s">
        <v>137</v>
      </c>
      <c r="AJ4" s="59" t="s">
        <v>138</v>
      </c>
      <c r="AK4" s="59" t="s">
        <v>139</v>
      </c>
      <c r="AL4" s="59" t="s">
        <v>140</v>
      </c>
      <c r="AM4" s="14">
        <v>2024</v>
      </c>
      <c r="AN4" s="59" t="s">
        <v>141</v>
      </c>
    </row>
    <row r="5" spans="1:43" ht="11.25" customHeight="1">
      <c r="C5" s="6"/>
      <c r="D5" s="12"/>
      <c r="E5" s="35"/>
      <c r="F5" s="35"/>
      <c r="G5" s="35"/>
      <c r="H5" s="35"/>
      <c r="I5" s="11"/>
      <c r="J5" s="124"/>
      <c r="K5" s="124"/>
      <c r="L5" s="124"/>
      <c r="M5" s="124"/>
      <c r="N5" s="11"/>
      <c r="O5" s="124"/>
      <c r="P5" s="124"/>
      <c r="Q5" s="124"/>
      <c r="R5" s="124"/>
      <c r="S5" s="11"/>
      <c r="T5" s="124"/>
      <c r="U5" s="124"/>
      <c r="V5" s="124"/>
      <c r="W5" s="124"/>
      <c r="X5" s="11"/>
      <c r="Y5" s="124"/>
      <c r="Z5" s="124"/>
      <c r="AA5" s="124"/>
      <c r="AB5" s="124"/>
      <c r="AC5" s="11"/>
      <c r="AD5" s="124"/>
      <c r="AE5" s="124"/>
      <c r="AF5" s="124"/>
      <c r="AG5" s="124"/>
      <c r="AH5" s="11"/>
      <c r="AI5" s="124"/>
      <c r="AJ5" s="124"/>
      <c r="AK5" s="124"/>
      <c r="AL5" s="124"/>
      <c r="AM5" s="11"/>
      <c r="AN5" s="35"/>
    </row>
    <row r="6" spans="1:43" ht="21.75">
      <c r="C6" s="9"/>
      <c r="D6" s="21" t="s">
        <v>2</v>
      </c>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pans="1:43" ht="21.75">
      <c r="C7" s="4"/>
      <c r="D7" s="16" t="s">
        <v>3</v>
      </c>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row>
    <row r="8" spans="1:43" ht="21.75">
      <c r="C8" s="4"/>
      <c r="D8" s="19" t="s">
        <v>4</v>
      </c>
      <c r="E8" s="22"/>
      <c r="F8" s="22">
        <v>7897857.8689999999</v>
      </c>
      <c r="G8" s="22">
        <v>6838561.6519999998</v>
      </c>
      <c r="H8" s="22">
        <v>6894234</v>
      </c>
      <c r="I8" s="22">
        <v>6894234</v>
      </c>
      <c r="J8" s="22">
        <v>7946211</v>
      </c>
      <c r="K8" s="22">
        <v>4995072</v>
      </c>
      <c r="L8" s="22">
        <v>5072565</v>
      </c>
      <c r="M8" s="22">
        <v>793130</v>
      </c>
      <c r="N8" s="22">
        <v>793130</v>
      </c>
      <c r="O8" s="22">
        <v>897150</v>
      </c>
      <c r="P8" s="22">
        <v>1026500</v>
      </c>
      <c r="Q8" s="22">
        <v>1422781</v>
      </c>
      <c r="R8" s="22">
        <v>1442769</v>
      </c>
      <c r="S8" s="22">
        <v>1442769</v>
      </c>
      <c r="T8" s="22">
        <v>1487184</v>
      </c>
      <c r="U8" s="22">
        <v>1595051</v>
      </c>
      <c r="V8" s="22">
        <v>1728558</v>
      </c>
      <c r="W8" s="22">
        <v>1721952</v>
      </c>
      <c r="X8" s="22">
        <v>1721952</v>
      </c>
      <c r="Y8" s="22">
        <v>1116945</v>
      </c>
      <c r="Z8" s="22">
        <v>1254343</v>
      </c>
      <c r="AA8" s="22">
        <v>1102775</v>
      </c>
      <c r="AB8" s="22">
        <v>1186027</v>
      </c>
      <c r="AC8" s="22">
        <v>1186027</v>
      </c>
      <c r="AD8" s="22">
        <v>1365485</v>
      </c>
      <c r="AE8" s="22">
        <v>1444208</v>
      </c>
      <c r="AF8" s="22">
        <v>1484700</v>
      </c>
      <c r="AG8" s="22">
        <v>3462889</v>
      </c>
      <c r="AH8" s="22">
        <v>3462889</v>
      </c>
      <c r="AI8" s="22">
        <v>3425744</v>
      </c>
      <c r="AJ8" s="22">
        <v>2938346</v>
      </c>
      <c r="AK8" s="22">
        <v>2147887</v>
      </c>
      <c r="AL8" s="22">
        <v>2142408</v>
      </c>
      <c r="AM8" s="22">
        <v>2142408</v>
      </c>
      <c r="AN8" s="22">
        <v>2038244</v>
      </c>
    </row>
    <row r="9" spans="1:43" ht="21.75">
      <c r="C9" s="4"/>
      <c r="D9" s="19" t="s">
        <v>5</v>
      </c>
      <c r="E9" s="22"/>
      <c r="F9" s="22">
        <v>25537.344000000001</v>
      </c>
      <c r="G9" s="22">
        <v>66468.129000000001</v>
      </c>
      <c r="H9" s="22">
        <v>12902</v>
      </c>
      <c r="I9" s="22">
        <v>12902</v>
      </c>
      <c r="J9" s="22">
        <v>0</v>
      </c>
      <c r="K9" s="22">
        <v>11160</v>
      </c>
      <c r="L9" s="22">
        <v>0</v>
      </c>
      <c r="M9" s="22">
        <v>1003</v>
      </c>
      <c r="N9" s="22">
        <v>1003</v>
      </c>
      <c r="O9" s="22">
        <v>1003</v>
      </c>
      <c r="P9" s="22">
        <v>0</v>
      </c>
      <c r="Q9" s="22">
        <v>0</v>
      </c>
      <c r="R9" s="22">
        <v>630</v>
      </c>
      <c r="S9" s="22">
        <v>630</v>
      </c>
      <c r="T9" s="22">
        <v>0</v>
      </c>
      <c r="U9" s="22">
        <v>0</v>
      </c>
      <c r="V9" s="22">
        <v>0</v>
      </c>
      <c r="W9" s="22">
        <v>1539</v>
      </c>
      <c r="X9" s="22">
        <v>1539</v>
      </c>
      <c r="Y9" s="22">
        <v>0</v>
      </c>
      <c r="Z9" s="22">
        <v>0</v>
      </c>
      <c r="AA9" s="22">
        <v>0</v>
      </c>
      <c r="AB9" s="22">
        <v>3519</v>
      </c>
      <c r="AC9" s="22">
        <v>3519</v>
      </c>
      <c r="AD9" s="22">
        <v>0</v>
      </c>
      <c r="AE9" s="22">
        <v>0</v>
      </c>
      <c r="AF9" s="22">
        <v>0</v>
      </c>
      <c r="AG9" s="22">
        <v>1113</v>
      </c>
      <c r="AH9" s="22">
        <v>1113</v>
      </c>
      <c r="AI9" s="22">
        <v>0</v>
      </c>
      <c r="AJ9" s="22">
        <v>0</v>
      </c>
      <c r="AK9" s="22">
        <v>0</v>
      </c>
      <c r="AL9" s="22">
        <v>2241</v>
      </c>
      <c r="AM9" s="22">
        <v>2241</v>
      </c>
      <c r="AN9" s="22">
        <v>0</v>
      </c>
    </row>
    <row r="10" spans="1:43" ht="21.75">
      <c r="C10" s="4"/>
      <c r="D10" s="19" t="s">
        <v>6</v>
      </c>
      <c r="E10" s="22"/>
      <c r="F10" s="22">
        <v>0</v>
      </c>
      <c r="G10" s="22">
        <v>4031.2420000000002</v>
      </c>
      <c r="H10" s="22">
        <v>2906</v>
      </c>
      <c r="I10" s="22">
        <v>2906</v>
      </c>
      <c r="J10" s="22">
        <v>6209</v>
      </c>
      <c r="K10" s="22">
        <v>3625</v>
      </c>
      <c r="L10" s="22">
        <v>3529</v>
      </c>
      <c r="M10" s="22">
        <v>1323</v>
      </c>
      <c r="N10" s="22">
        <v>1323</v>
      </c>
      <c r="O10" s="22">
        <v>6319</v>
      </c>
      <c r="P10" s="22">
        <v>3956</v>
      </c>
      <c r="Q10" s="22">
        <v>4614</v>
      </c>
      <c r="R10" s="22">
        <v>8272</v>
      </c>
      <c r="S10" s="22">
        <v>8272</v>
      </c>
      <c r="T10" s="22">
        <v>9162</v>
      </c>
      <c r="U10" s="22">
        <v>3940</v>
      </c>
      <c r="V10" s="22">
        <v>6515</v>
      </c>
      <c r="W10" s="22">
        <v>0</v>
      </c>
      <c r="X10" s="22">
        <v>0</v>
      </c>
      <c r="Y10" s="22">
        <v>0</v>
      </c>
      <c r="Z10" s="22">
        <v>5888</v>
      </c>
      <c r="AA10" s="22"/>
      <c r="AB10" s="22">
        <v>0</v>
      </c>
      <c r="AC10" s="22">
        <v>0</v>
      </c>
      <c r="AD10" s="22">
        <v>0</v>
      </c>
      <c r="AE10" s="22">
        <v>0</v>
      </c>
      <c r="AF10" s="22">
        <v>0</v>
      </c>
      <c r="AG10" s="22">
        <v>0</v>
      </c>
      <c r="AH10" s="22">
        <v>0</v>
      </c>
      <c r="AI10" s="22">
        <v>0</v>
      </c>
      <c r="AJ10" s="22">
        <v>0</v>
      </c>
      <c r="AK10" s="22">
        <v>0</v>
      </c>
      <c r="AL10" s="22">
        <v>0</v>
      </c>
      <c r="AM10" s="22">
        <v>0</v>
      </c>
      <c r="AN10" s="22">
        <v>0</v>
      </c>
    </row>
    <row r="11" spans="1:43" ht="21.75">
      <c r="C11" s="4"/>
      <c r="D11" s="19" t="s">
        <v>7</v>
      </c>
      <c r="E11" s="22"/>
      <c r="F11" s="22">
        <v>1709575.324</v>
      </c>
      <c r="G11" s="22">
        <v>1962574.3859999999</v>
      </c>
      <c r="H11" s="22">
        <v>1887674</v>
      </c>
      <c r="I11" s="22">
        <v>1887674</v>
      </c>
      <c r="J11" s="22">
        <v>658648</v>
      </c>
      <c r="K11" s="22">
        <v>906389</v>
      </c>
      <c r="L11" s="22">
        <v>825843</v>
      </c>
      <c r="M11" s="22">
        <v>1147118</v>
      </c>
      <c r="N11" s="22">
        <v>1147118</v>
      </c>
      <c r="O11" s="22">
        <v>1043977</v>
      </c>
      <c r="P11" s="22">
        <v>939843</v>
      </c>
      <c r="Q11" s="22">
        <v>560395</v>
      </c>
      <c r="R11" s="22">
        <v>458431</v>
      </c>
      <c r="S11" s="22">
        <v>458431</v>
      </c>
      <c r="T11" s="22">
        <v>360060</v>
      </c>
      <c r="U11" s="22">
        <v>252893</v>
      </c>
      <c r="V11" s="22">
        <v>142245</v>
      </c>
      <c r="W11" s="22">
        <v>44590</v>
      </c>
      <c r="X11" s="22">
        <v>44590</v>
      </c>
      <c r="Y11" s="22">
        <v>4506</v>
      </c>
      <c r="Z11" s="22">
        <v>508413</v>
      </c>
      <c r="AA11" s="22">
        <v>390488</v>
      </c>
      <c r="AB11" s="22">
        <v>254279</v>
      </c>
      <c r="AC11" s="22">
        <v>254279</v>
      </c>
      <c r="AD11" s="22">
        <v>111202</v>
      </c>
      <c r="AE11" s="22">
        <v>0</v>
      </c>
      <c r="AF11" s="22">
        <v>0</v>
      </c>
      <c r="AG11" s="22">
        <v>0</v>
      </c>
      <c r="AH11" s="22">
        <v>0</v>
      </c>
      <c r="AI11" s="22">
        <v>0</v>
      </c>
      <c r="AJ11" s="22">
        <v>0</v>
      </c>
      <c r="AK11" s="22">
        <v>0</v>
      </c>
      <c r="AL11" s="22">
        <v>0</v>
      </c>
      <c r="AM11" s="22">
        <v>0</v>
      </c>
      <c r="AN11" s="22">
        <v>0</v>
      </c>
    </row>
    <row r="12" spans="1:43">
      <c r="C12" s="4"/>
      <c r="D12" s="19" t="s">
        <v>8</v>
      </c>
      <c r="E12" s="23"/>
      <c r="F12" s="23">
        <v>0</v>
      </c>
      <c r="G12" s="23">
        <v>0</v>
      </c>
      <c r="H12" s="23">
        <v>0</v>
      </c>
      <c r="I12" s="125">
        <v>0</v>
      </c>
      <c r="J12" s="125">
        <v>0</v>
      </c>
      <c r="K12" s="125">
        <v>0</v>
      </c>
      <c r="L12" s="125">
        <v>0</v>
      </c>
      <c r="M12" s="125">
        <v>0</v>
      </c>
      <c r="N12" s="125">
        <v>0</v>
      </c>
      <c r="O12" s="125">
        <v>0</v>
      </c>
      <c r="P12" s="125">
        <v>0</v>
      </c>
      <c r="Q12" s="125">
        <v>0</v>
      </c>
      <c r="R12" s="125">
        <v>0</v>
      </c>
      <c r="S12" s="125">
        <v>0</v>
      </c>
      <c r="T12" s="125">
        <v>0</v>
      </c>
      <c r="U12" s="125">
        <v>0</v>
      </c>
      <c r="V12" s="125">
        <v>0</v>
      </c>
      <c r="W12" s="125">
        <v>8903</v>
      </c>
      <c r="X12" s="125">
        <v>8903</v>
      </c>
      <c r="Y12" s="125">
        <v>11414</v>
      </c>
      <c r="Z12" s="22">
        <v>0</v>
      </c>
      <c r="AA12" s="125">
        <v>17109</v>
      </c>
      <c r="AB12" s="125">
        <v>10306</v>
      </c>
      <c r="AC12" s="125">
        <v>10306</v>
      </c>
      <c r="AD12" s="125">
        <v>14632</v>
      </c>
      <c r="AE12" s="125">
        <v>8682</v>
      </c>
      <c r="AF12" s="125">
        <v>22355</v>
      </c>
      <c r="AG12" s="125">
        <v>11508</v>
      </c>
      <c r="AH12" s="125">
        <v>11508</v>
      </c>
      <c r="AI12" s="125">
        <v>20958</v>
      </c>
      <c r="AJ12" s="125">
        <v>12829</v>
      </c>
      <c r="AK12" s="125">
        <v>28355</v>
      </c>
      <c r="AL12" s="125">
        <v>17502</v>
      </c>
      <c r="AM12" s="125">
        <v>17502</v>
      </c>
      <c r="AN12" s="23">
        <v>24142</v>
      </c>
    </row>
    <row r="13" spans="1:43" ht="21.75">
      <c r="C13" s="4"/>
      <c r="D13" s="15" t="s">
        <v>9</v>
      </c>
      <c r="E13" s="24"/>
      <c r="F13" s="24">
        <v>9632970.5370000005</v>
      </c>
      <c r="G13" s="24">
        <v>8871635.4089999981</v>
      </c>
      <c r="H13" s="24">
        <v>8797716</v>
      </c>
      <c r="I13" s="24">
        <v>8797716</v>
      </c>
      <c r="J13" s="24">
        <v>8611068</v>
      </c>
      <c r="K13" s="24">
        <v>5916246</v>
      </c>
      <c r="L13" s="24">
        <v>5901937</v>
      </c>
      <c r="M13" s="24">
        <v>1942574</v>
      </c>
      <c r="N13" s="24">
        <v>1942574</v>
      </c>
      <c r="O13" s="24">
        <v>1948449</v>
      </c>
      <c r="P13" s="24">
        <v>1970299</v>
      </c>
      <c r="Q13" s="24">
        <v>1987790</v>
      </c>
      <c r="R13" s="24">
        <v>1910102</v>
      </c>
      <c r="S13" s="24">
        <v>1910102</v>
      </c>
      <c r="T13" s="24">
        <v>1856406</v>
      </c>
      <c r="U13" s="24">
        <v>1851884</v>
      </c>
      <c r="V13" s="24">
        <v>1877318</v>
      </c>
      <c r="W13" s="24">
        <v>1776984</v>
      </c>
      <c r="X13" s="24">
        <v>1776984</v>
      </c>
      <c r="Y13" s="24">
        <v>1132865</v>
      </c>
      <c r="Z13" s="24">
        <v>1768644</v>
      </c>
      <c r="AA13" s="24">
        <v>1510372</v>
      </c>
      <c r="AB13" s="24">
        <v>1454131</v>
      </c>
      <c r="AC13" s="24">
        <v>1454131</v>
      </c>
      <c r="AD13" s="24">
        <v>1491319</v>
      </c>
      <c r="AE13" s="24">
        <v>1452890</v>
      </c>
      <c r="AF13" s="24">
        <v>1507055</v>
      </c>
      <c r="AG13" s="24">
        <v>3475510</v>
      </c>
      <c r="AH13" s="24">
        <v>3475510</v>
      </c>
      <c r="AI13" s="24">
        <v>3446702</v>
      </c>
      <c r="AJ13" s="24">
        <v>2951175</v>
      </c>
      <c r="AK13" s="24">
        <v>2176242</v>
      </c>
      <c r="AL13" s="24">
        <v>2162151</v>
      </c>
      <c r="AM13" s="24">
        <v>2162151</v>
      </c>
      <c r="AN13" s="24">
        <v>2062386</v>
      </c>
    </row>
    <row r="14" spans="1:43" ht="21.75">
      <c r="C14" s="4"/>
      <c r="D14" s="4"/>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row>
    <row r="15" spans="1:43" ht="21.75">
      <c r="C15" s="4"/>
      <c r="D15" s="16" t="s">
        <v>10</v>
      </c>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1:43" ht="21.75">
      <c r="C16" s="4"/>
      <c r="D16" s="19" t="s">
        <v>11</v>
      </c>
      <c r="E16" s="22"/>
      <c r="F16" s="22">
        <v>15972934.404999999</v>
      </c>
      <c r="G16" s="22">
        <v>15972934.404999999</v>
      </c>
      <c r="H16" s="22">
        <v>19131998</v>
      </c>
      <c r="I16" s="22">
        <v>19131998</v>
      </c>
      <c r="J16" s="22">
        <v>19352944</v>
      </c>
      <c r="K16" s="22">
        <v>22074171</v>
      </c>
      <c r="L16" s="22">
        <v>22075034</v>
      </c>
      <c r="M16" s="22">
        <v>26240121</v>
      </c>
      <c r="N16" s="22">
        <v>26240121</v>
      </c>
      <c r="O16" s="22">
        <v>26240121</v>
      </c>
      <c r="P16" s="22">
        <v>26240121</v>
      </c>
      <c r="Q16" s="22">
        <v>26240121</v>
      </c>
      <c r="R16" s="22">
        <v>26752156</v>
      </c>
      <c r="S16" s="22">
        <v>26752156</v>
      </c>
      <c r="T16" s="22">
        <v>26805035</v>
      </c>
      <c r="U16" s="22">
        <v>26805035</v>
      </c>
      <c r="V16" s="22">
        <v>26805035</v>
      </c>
      <c r="W16" s="22">
        <v>27984395</v>
      </c>
      <c r="X16" s="22">
        <v>27984395</v>
      </c>
      <c r="Y16" s="22">
        <v>28354524</v>
      </c>
      <c r="Z16" s="22">
        <v>33631134</v>
      </c>
      <c r="AA16" s="22">
        <v>33845707</v>
      </c>
      <c r="AB16" s="22">
        <v>35246000</v>
      </c>
      <c r="AC16" s="22">
        <v>35246000</v>
      </c>
      <c r="AD16" s="22">
        <v>35246000</v>
      </c>
      <c r="AE16" s="22">
        <v>35314809</v>
      </c>
      <c r="AF16" s="22">
        <v>35376997</v>
      </c>
      <c r="AG16" s="22">
        <v>36532060</v>
      </c>
      <c r="AH16" s="22">
        <v>36532060</v>
      </c>
      <c r="AI16" s="22">
        <v>36534101</v>
      </c>
      <c r="AJ16" s="22">
        <v>36649678</v>
      </c>
      <c r="AK16" s="22">
        <v>37562264</v>
      </c>
      <c r="AL16" s="22">
        <v>38433649</v>
      </c>
      <c r="AM16" s="22">
        <v>38433649</v>
      </c>
      <c r="AN16" s="22">
        <v>38485785</v>
      </c>
    </row>
    <row r="17" spans="3:40">
      <c r="C17" s="4"/>
      <c r="D17" s="19" t="s">
        <v>12</v>
      </c>
      <c r="E17" s="23"/>
      <c r="F17" s="23">
        <v>0</v>
      </c>
      <c r="G17" s="23">
        <v>0</v>
      </c>
      <c r="H17" s="23">
        <v>0</v>
      </c>
      <c r="I17" s="125">
        <v>0</v>
      </c>
      <c r="J17" s="125">
        <v>24</v>
      </c>
      <c r="K17" s="125">
        <v>24</v>
      </c>
      <c r="L17" s="125">
        <v>0</v>
      </c>
      <c r="M17" s="125">
        <v>0</v>
      </c>
      <c r="N17" s="125">
        <v>0</v>
      </c>
      <c r="O17" s="125">
        <v>0</v>
      </c>
      <c r="P17" s="125">
        <v>0</v>
      </c>
      <c r="Q17" s="125">
        <v>0</v>
      </c>
      <c r="R17" s="125">
        <v>0</v>
      </c>
      <c r="S17" s="125">
        <v>0</v>
      </c>
      <c r="T17" s="125">
        <v>0</v>
      </c>
      <c r="U17" s="125">
        <v>0</v>
      </c>
      <c r="V17" s="125">
        <v>0</v>
      </c>
      <c r="W17" s="125">
        <v>0</v>
      </c>
      <c r="X17" s="125">
        <v>0</v>
      </c>
      <c r="Y17" s="125">
        <v>250000</v>
      </c>
      <c r="Z17" s="22">
        <v>0</v>
      </c>
      <c r="AA17" s="22">
        <v>0</v>
      </c>
      <c r="AB17" s="125">
        <v>0</v>
      </c>
      <c r="AC17" s="125">
        <v>0</v>
      </c>
      <c r="AD17" s="22">
        <v>0</v>
      </c>
      <c r="AE17" s="125">
        <v>0</v>
      </c>
      <c r="AF17" s="125">
        <v>0</v>
      </c>
      <c r="AG17" s="125">
        <v>0</v>
      </c>
      <c r="AH17" s="125">
        <v>0</v>
      </c>
      <c r="AI17" s="22">
        <v>0</v>
      </c>
      <c r="AJ17" s="125">
        <v>550000</v>
      </c>
      <c r="AK17" s="125">
        <v>350000</v>
      </c>
      <c r="AL17" s="125">
        <v>350000</v>
      </c>
      <c r="AM17" s="125">
        <v>350000</v>
      </c>
      <c r="AN17" s="23">
        <v>350000</v>
      </c>
    </row>
    <row r="18" spans="3:40">
      <c r="C18" s="4"/>
      <c r="D18" s="19" t="s">
        <v>13</v>
      </c>
      <c r="E18" s="23"/>
      <c r="F18" s="23">
        <v>0</v>
      </c>
      <c r="G18" s="23">
        <v>0</v>
      </c>
      <c r="H18" s="23">
        <v>0</v>
      </c>
      <c r="I18" s="125">
        <v>0</v>
      </c>
      <c r="J18" s="125">
        <v>34527</v>
      </c>
      <c r="K18" s="125">
        <v>33942</v>
      </c>
      <c r="L18" s="125">
        <v>33356</v>
      </c>
      <c r="M18" s="125">
        <v>38506</v>
      </c>
      <c r="N18" s="125">
        <v>38506</v>
      </c>
      <c r="O18" s="125">
        <v>37817</v>
      </c>
      <c r="P18" s="125">
        <v>37129</v>
      </c>
      <c r="Q18" s="125">
        <v>36441</v>
      </c>
      <c r="R18" s="125">
        <v>35754</v>
      </c>
      <c r="S18" s="125">
        <v>35754</v>
      </c>
      <c r="T18" s="125">
        <v>35066</v>
      </c>
      <c r="U18" s="125">
        <v>34379</v>
      </c>
      <c r="V18" s="125">
        <v>33691</v>
      </c>
      <c r="W18" s="125">
        <v>30727</v>
      </c>
      <c r="X18" s="125">
        <v>30727</v>
      </c>
      <c r="Y18" s="125">
        <v>30087</v>
      </c>
      <c r="Z18" s="125">
        <v>29447</v>
      </c>
      <c r="AA18" s="125">
        <v>28807</v>
      </c>
      <c r="AB18" s="125">
        <v>30736</v>
      </c>
      <c r="AC18" s="125">
        <v>30736</v>
      </c>
      <c r="AD18" s="125">
        <v>30032</v>
      </c>
      <c r="AE18" s="125">
        <v>29328</v>
      </c>
      <c r="AF18" s="125">
        <v>28624</v>
      </c>
      <c r="AG18" s="125">
        <v>28058</v>
      </c>
      <c r="AH18" s="125">
        <v>28058</v>
      </c>
      <c r="AI18" s="125">
        <v>27351</v>
      </c>
      <c r="AJ18" s="125">
        <v>26644</v>
      </c>
      <c r="AK18" s="125">
        <v>25937</v>
      </c>
      <c r="AL18" s="125">
        <v>25767</v>
      </c>
      <c r="AM18" s="125">
        <v>25767</v>
      </c>
      <c r="AN18" s="23">
        <v>25044</v>
      </c>
    </row>
    <row r="19" spans="3:40" ht="21.75">
      <c r="C19" s="4"/>
      <c r="D19" s="20" t="s">
        <v>105</v>
      </c>
      <c r="E19" s="22"/>
      <c r="F19" s="22">
        <v>0</v>
      </c>
      <c r="G19" s="22">
        <v>40.856999999999999</v>
      </c>
      <c r="H19" s="22">
        <v>251</v>
      </c>
      <c r="I19" s="22">
        <v>251</v>
      </c>
      <c r="J19" s="22">
        <v>231</v>
      </c>
      <c r="K19" s="22">
        <v>333</v>
      </c>
      <c r="L19" s="22">
        <v>318</v>
      </c>
      <c r="M19" s="22">
        <v>300</v>
      </c>
      <c r="N19" s="22">
        <v>300</v>
      </c>
      <c r="O19" s="22">
        <v>324</v>
      </c>
      <c r="P19" s="22">
        <v>286</v>
      </c>
      <c r="Q19" s="22">
        <v>248</v>
      </c>
      <c r="R19" s="22">
        <v>237</v>
      </c>
      <c r="S19" s="22">
        <v>237</v>
      </c>
      <c r="T19" s="22">
        <v>210</v>
      </c>
      <c r="U19" s="22">
        <v>180</v>
      </c>
      <c r="V19" s="22">
        <v>150</v>
      </c>
      <c r="W19" s="22">
        <v>0</v>
      </c>
      <c r="X19" s="22">
        <v>0</v>
      </c>
      <c r="Y19" s="22">
        <v>0</v>
      </c>
      <c r="Z19" s="22">
        <v>0</v>
      </c>
      <c r="AA19" s="22">
        <v>0</v>
      </c>
      <c r="AB19" s="22">
        <v>0</v>
      </c>
      <c r="AC19" s="22">
        <v>0</v>
      </c>
      <c r="AD19" s="22">
        <v>0</v>
      </c>
      <c r="AE19" s="125">
        <v>0</v>
      </c>
      <c r="AF19" s="125">
        <v>0</v>
      </c>
      <c r="AG19" s="22">
        <v>0</v>
      </c>
      <c r="AH19" s="22">
        <v>0</v>
      </c>
      <c r="AI19" s="22">
        <v>0</v>
      </c>
      <c r="AJ19" s="22">
        <v>0</v>
      </c>
      <c r="AK19" s="22">
        <v>0</v>
      </c>
      <c r="AL19" s="22">
        <v>0</v>
      </c>
      <c r="AM19" s="22">
        <v>0</v>
      </c>
      <c r="AN19" s="22">
        <v>0</v>
      </c>
    </row>
    <row r="20" spans="3:40" ht="21.75">
      <c r="C20" s="4"/>
      <c r="D20" s="19" t="s">
        <v>14</v>
      </c>
      <c r="E20" s="22"/>
      <c r="F20" s="22">
        <v>0</v>
      </c>
      <c r="G20" s="22">
        <v>282.32100000000003</v>
      </c>
      <c r="H20" s="22">
        <v>941</v>
      </c>
      <c r="I20" s="22">
        <v>941</v>
      </c>
      <c r="J20" s="22">
        <v>941</v>
      </c>
      <c r="K20" s="22">
        <v>941</v>
      </c>
      <c r="L20" s="22">
        <v>941</v>
      </c>
      <c r="M20" s="22">
        <v>1451</v>
      </c>
      <c r="N20" s="22">
        <v>1451</v>
      </c>
      <c r="O20" s="22">
        <v>1443</v>
      </c>
      <c r="P20" s="22">
        <v>1434</v>
      </c>
      <c r="Q20" s="22">
        <v>1424</v>
      </c>
      <c r="R20" s="22">
        <v>1415</v>
      </c>
      <c r="S20" s="22">
        <v>1415</v>
      </c>
      <c r="T20" s="22">
        <v>1406</v>
      </c>
      <c r="U20" s="22">
        <v>1397</v>
      </c>
      <c r="V20" s="22">
        <v>1388</v>
      </c>
      <c r="W20" s="22">
        <v>1515</v>
      </c>
      <c r="X20" s="22">
        <v>1515</v>
      </c>
      <c r="Y20" s="22">
        <v>1483</v>
      </c>
      <c r="Z20" s="22">
        <v>1516</v>
      </c>
      <c r="AA20" s="22">
        <v>1502</v>
      </c>
      <c r="AB20" s="22">
        <v>1764</v>
      </c>
      <c r="AC20" s="22">
        <v>1764</v>
      </c>
      <c r="AD20" s="22">
        <v>1763</v>
      </c>
      <c r="AE20" s="22">
        <v>2283</v>
      </c>
      <c r="AF20" s="22">
        <v>2435</v>
      </c>
      <c r="AG20" s="22">
        <v>4126</v>
      </c>
      <c r="AH20" s="22">
        <v>4126</v>
      </c>
      <c r="AI20" s="22">
        <v>4077</v>
      </c>
      <c r="AJ20" s="22">
        <v>4117</v>
      </c>
      <c r="AK20" s="22">
        <v>4177</v>
      </c>
      <c r="AL20" s="22">
        <v>4847</v>
      </c>
      <c r="AM20" s="22">
        <v>4847</v>
      </c>
      <c r="AN20" s="22">
        <v>4742</v>
      </c>
    </row>
    <row r="21" spans="3:40" ht="21.75">
      <c r="C21" s="4"/>
      <c r="D21" s="15" t="s">
        <v>15</v>
      </c>
      <c r="E21" s="25"/>
      <c r="F21" s="25">
        <v>15972934.404999999</v>
      </c>
      <c r="G21" s="25">
        <v>15973257.583000001</v>
      </c>
      <c r="H21" s="25">
        <v>19133190</v>
      </c>
      <c r="I21" s="25">
        <v>19133190</v>
      </c>
      <c r="J21" s="25">
        <v>19388667</v>
      </c>
      <c r="K21" s="25">
        <v>22109411</v>
      </c>
      <c r="L21" s="25">
        <v>22109673</v>
      </c>
      <c r="M21" s="25">
        <v>26280378</v>
      </c>
      <c r="N21" s="25">
        <v>26280378</v>
      </c>
      <c r="O21" s="25">
        <v>26279705</v>
      </c>
      <c r="P21" s="25">
        <v>26278970</v>
      </c>
      <c r="Q21" s="25">
        <v>26278234</v>
      </c>
      <c r="R21" s="25">
        <v>26789562</v>
      </c>
      <c r="S21" s="25">
        <v>26789562</v>
      </c>
      <c r="T21" s="25">
        <v>26841717</v>
      </c>
      <c r="U21" s="25">
        <v>26840991</v>
      </c>
      <c r="V21" s="25">
        <v>26840264</v>
      </c>
      <c r="W21" s="25">
        <v>28016637</v>
      </c>
      <c r="X21" s="25">
        <v>28016637</v>
      </c>
      <c r="Y21" s="25">
        <v>28636094</v>
      </c>
      <c r="Z21" s="25">
        <v>33662097</v>
      </c>
      <c r="AA21" s="25">
        <v>33876016</v>
      </c>
      <c r="AB21" s="25">
        <v>35278500</v>
      </c>
      <c r="AC21" s="25">
        <v>35278500</v>
      </c>
      <c r="AD21" s="25">
        <v>35277795</v>
      </c>
      <c r="AE21" s="25">
        <v>35346420</v>
      </c>
      <c r="AF21" s="25">
        <v>35408056</v>
      </c>
      <c r="AG21" s="25">
        <v>36564244</v>
      </c>
      <c r="AH21" s="25">
        <v>36564244</v>
      </c>
      <c r="AI21" s="25">
        <v>36565529</v>
      </c>
      <c r="AJ21" s="25">
        <v>37230439</v>
      </c>
      <c r="AK21" s="25">
        <v>37942378</v>
      </c>
      <c r="AL21" s="25">
        <v>38814263</v>
      </c>
      <c r="AM21" s="25">
        <v>38814263</v>
      </c>
      <c r="AN21" s="25">
        <v>38865571</v>
      </c>
    </row>
    <row r="22" spans="3:40" ht="21.75">
      <c r="C22" s="4"/>
      <c r="D22" s="4"/>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row>
    <row r="23" spans="3:40" ht="21.75">
      <c r="C23" s="4"/>
      <c r="D23" s="17" t="s">
        <v>16</v>
      </c>
      <c r="E23" s="27"/>
      <c r="F23" s="27">
        <v>25605904.942000002</v>
      </c>
      <c r="G23" s="27">
        <v>24844892.991999999</v>
      </c>
      <c r="H23" s="27">
        <v>27930906</v>
      </c>
      <c r="I23" s="27">
        <v>27930906</v>
      </c>
      <c r="J23" s="27">
        <v>27999735</v>
      </c>
      <c r="K23" s="27">
        <v>28025657</v>
      </c>
      <c r="L23" s="27">
        <v>28011610</v>
      </c>
      <c r="M23" s="27">
        <v>28222952</v>
      </c>
      <c r="N23" s="27">
        <v>28222952</v>
      </c>
      <c r="O23" s="27">
        <v>28228154</v>
      </c>
      <c r="P23" s="27">
        <v>28249269</v>
      </c>
      <c r="Q23" s="27">
        <v>28266024</v>
      </c>
      <c r="R23" s="27">
        <v>28699664</v>
      </c>
      <c r="S23" s="27">
        <v>28699664</v>
      </c>
      <c r="T23" s="27">
        <v>28698123</v>
      </c>
      <c r="U23" s="27">
        <v>28692875</v>
      </c>
      <c r="V23" s="27">
        <v>28717582</v>
      </c>
      <c r="W23" s="27">
        <v>29793621</v>
      </c>
      <c r="X23" s="27">
        <v>29793621</v>
      </c>
      <c r="Y23" s="27">
        <v>29768959</v>
      </c>
      <c r="Z23" s="27">
        <v>35430741</v>
      </c>
      <c r="AA23" s="27">
        <v>35386388</v>
      </c>
      <c r="AB23" s="27">
        <v>36732631</v>
      </c>
      <c r="AC23" s="27">
        <v>36732631</v>
      </c>
      <c r="AD23" s="27">
        <v>36769114</v>
      </c>
      <c r="AE23" s="27">
        <v>36799310</v>
      </c>
      <c r="AF23" s="27">
        <v>36915111</v>
      </c>
      <c r="AG23" s="27">
        <v>40039754</v>
      </c>
      <c r="AH23" s="27">
        <v>40039754</v>
      </c>
      <c r="AI23" s="27">
        <v>40012231</v>
      </c>
      <c r="AJ23" s="27">
        <v>40181614</v>
      </c>
      <c r="AK23" s="27">
        <v>40118620</v>
      </c>
      <c r="AL23" s="27">
        <v>40976414</v>
      </c>
      <c r="AM23" s="27">
        <v>40976414</v>
      </c>
      <c r="AN23" s="27">
        <v>40927957</v>
      </c>
    </row>
    <row r="24" spans="3:40" ht="21.75">
      <c r="C24" s="4"/>
      <c r="D24" s="4"/>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row>
    <row r="25" spans="3:40" ht="21.75">
      <c r="C25" s="9"/>
      <c r="D25" s="21" t="s">
        <v>17</v>
      </c>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3:40" ht="21.75">
      <c r="C26" s="4"/>
      <c r="D26" s="16" t="s">
        <v>18</v>
      </c>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3:40" ht="21.75">
      <c r="C27" s="4"/>
      <c r="D27" s="19" t="s">
        <v>19</v>
      </c>
      <c r="E27" s="22"/>
      <c r="F27" s="22">
        <v>2449088.9479999999</v>
      </c>
      <c r="G27" s="22">
        <v>6481.7439999999997</v>
      </c>
      <c r="H27" s="22">
        <v>2391</v>
      </c>
      <c r="I27" s="22">
        <v>2391</v>
      </c>
      <c r="J27" s="22">
        <v>2060</v>
      </c>
      <c r="K27" s="22">
        <v>44712</v>
      </c>
      <c r="L27" s="22">
        <v>5892</v>
      </c>
      <c r="M27" s="22">
        <v>3973</v>
      </c>
      <c r="N27" s="22">
        <v>3973</v>
      </c>
      <c r="O27" s="22">
        <v>5881</v>
      </c>
      <c r="P27" s="22">
        <v>9112</v>
      </c>
      <c r="Q27" s="22">
        <v>4466</v>
      </c>
      <c r="R27" s="22">
        <v>4977</v>
      </c>
      <c r="S27" s="22">
        <v>4977</v>
      </c>
      <c r="T27" s="22">
        <v>3706</v>
      </c>
      <c r="U27" s="22">
        <v>5037</v>
      </c>
      <c r="V27" s="22">
        <v>5584</v>
      </c>
      <c r="W27" s="22">
        <v>5080</v>
      </c>
      <c r="X27" s="22">
        <v>5080</v>
      </c>
      <c r="Y27" s="22">
        <v>2143</v>
      </c>
      <c r="Z27" s="22">
        <v>12410</v>
      </c>
      <c r="AA27" s="22">
        <v>15858</v>
      </c>
      <c r="AB27" s="22">
        <v>7634</v>
      </c>
      <c r="AC27" s="22">
        <v>7634</v>
      </c>
      <c r="AD27" s="22">
        <v>14832</v>
      </c>
      <c r="AE27" s="22">
        <v>11102</v>
      </c>
      <c r="AF27" s="22">
        <v>5963</v>
      </c>
      <c r="AG27" s="22">
        <v>14499</v>
      </c>
      <c r="AH27" s="22">
        <v>14499</v>
      </c>
      <c r="AI27" s="22">
        <v>10454</v>
      </c>
      <c r="AJ27" s="22">
        <v>10522</v>
      </c>
      <c r="AK27" s="22">
        <v>25386</v>
      </c>
      <c r="AL27" s="22">
        <v>14751</v>
      </c>
      <c r="AM27" s="22">
        <v>14751</v>
      </c>
      <c r="AN27" s="22">
        <v>10850</v>
      </c>
    </row>
    <row r="28" spans="3:40">
      <c r="C28" s="4"/>
      <c r="D28" s="19" t="s">
        <v>142</v>
      </c>
      <c r="E28" s="23"/>
      <c r="F28" s="23">
        <v>0</v>
      </c>
      <c r="G28" s="23">
        <v>63756.548999999999</v>
      </c>
      <c r="H28" s="23">
        <v>0</v>
      </c>
      <c r="I28" s="125">
        <v>0</v>
      </c>
      <c r="J28" s="125">
        <v>23765</v>
      </c>
      <c r="K28" s="125">
        <v>18287</v>
      </c>
      <c r="L28" s="125">
        <v>5645</v>
      </c>
      <c r="M28" s="125">
        <v>20986</v>
      </c>
      <c r="N28" s="125">
        <v>20986</v>
      </c>
      <c r="O28" s="125">
        <v>24429</v>
      </c>
      <c r="P28" s="125">
        <v>25180</v>
      </c>
      <c r="Q28" s="125">
        <v>44755</v>
      </c>
      <c r="R28" s="125">
        <v>15948</v>
      </c>
      <c r="S28" s="125">
        <v>15948</v>
      </c>
      <c r="T28" s="125">
        <v>26293</v>
      </c>
      <c r="U28" s="125">
        <v>27245</v>
      </c>
      <c r="V28" s="125">
        <v>49067</v>
      </c>
      <c r="W28" s="125">
        <v>36462</v>
      </c>
      <c r="X28" s="125">
        <v>36462</v>
      </c>
      <c r="Y28" s="125">
        <v>10750</v>
      </c>
      <c r="Z28" s="125">
        <v>21500</v>
      </c>
      <c r="AA28" s="125">
        <v>32250</v>
      </c>
      <c r="AB28" s="125">
        <v>0</v>
      </c>
      <c r="AC28" s="125">
        <v>0</v>
      </c>
      <c r="AD28" s="125">
        <v>12066</v>
      </c>
      <c r="AE28" s="125">
        <v>23140</v>
      </c>
      <c r="AF28" s="125">
        <v>35070</v>
      </c>
      <c r="AG28" s="125">
        <v>0</v>
      </c>
      <c r="AH28" s="125">
        <v>0</v>
      </c>
      <c r="AI28" s="125">
        <v>13750</v>
      </c>
      <c r="AJ28" s="125">
        <v>62309</v>
      </c>
      <c r="AK28" s="125">
        <v>41250</v>
      </c>
      <c r="AL28" s="125">
        <v>0</v>
      </c>
      <c r="AM28" s="125">
        <v>0</v>
      </c>
      <c r="AN28" s="23">
        <v>14250</v>
      </c>
    </row>
    <row r="29" spans="3:40">
      <c r="C29" s="4"/>
      <c r="D29" s="19" t="s">
        <v>20</v>
      </c>
      <c r="E29" s="23"/>
      <c r="F29" s="23">
        <v>0</v>
      </c>
      <c r="G29" s="23">
        <v>0</v>
      </c>
      <c r="H29" s="23">
        <v>0</v>
      </c>
      <c r="I29" s="125">
        <v>0</v>
      </c>
      <c r="J29" s="125">
        <v>0</v>
      </c>
      <c r="K29" s="125">
        <v>0</v>
      </c>
      <c r="L29" s="125">
        <v>0</v>
      </c>
      <c r="M29" s="125">
        <v>0</v>
      </c>
      <c r="N29" s="125">
        <v>0</v>
      </c>
      <c r="O29" s="125">
        <v>0</v>
      </c>
      <c r="P29" s="125">
        <v>0</v>
      </c>
      <c r="Q29" s="125">
        <v>0</v>
      </c>
      <c r="R29" s="125">
        <v>0</v>
      </c>
      <c r="S29" s="125">
        <v>0</v>
      </c>
      <c r="T29" s="125">
        <v>0</v>
      </c>
      <c r="U29" s="125">
        <v>0</v>
      </c>
      <c r="V29" s="125">
        <v>0</v>
      </c>
      <c r="W29" s="125">
        <v>0</v>
      </c>
      <c r="X29" s="125">
        <v>0</v>
      </c>
      <c r="Y29" s="125">
        <v>0</v>
      </c>
      <c r="Z29" s="22">
        <v>0</v>
      </c>
      <c r="AA29" s="22">
        <v>0</v>
      </c>
      <c r="AB29" s="125">
        <v>8672</v>
      </c>
      <c r="AC29" s="125">
        <v>8672</v>
      </c>
      <c r="AD29" s="22">
        <v>0</v>
      </c>
      <c r="AE29" s="125">
        <v>0</v>
      </c>
      <c r="AF29" s="125">
        <v>33628</v>
      </c>
      <c r="AG29" s="125">
        <v>177306</v>
      </c>
      <c r="AH29" s="125">
        <v>177306</v>
      </c>
      <c r="AI29" s="125">
        <v>75781</v>
      </c>
      <c r="AJ29" s="125">
        <v>170356</v>
      </c>
      <c r="AK29" s="125">
        <v>68640</v>
      </c>
      <c r="AL29" s="125">
        <v>185481</v>
      </c>
      <c r="AM29" s="125">
        <v>185481</v>
      </c>
      <c r="AN29" s="23">
        <v>60497</v>
      </c>
    </row>
    <row r="30" spans="3:40" ht="21.75">
      <c r="C30" s="4"/>
      <c r="D30" s="19" t="s">
        <v>21</v>
      </c>
      <c r="E30" s="22"/>
      <c r="F30" s="22">
        <v>3842.4470000000001</v>
      </c>
      <c r="G30" s="22">
        <v>2645.665</v>
      </c>
      <c r="H30" s="22">
        <v>871</v>
      </c>
      <c r="I30" s="22">
        <v>871</v>
      </c>
      <c r="J30" s="22">
        <v>748</v>
      </c>
      <c r="K30" s="22">
        <v>1582</v>
      </c>
      <c r="L30" s="22">
        <v>1350</v>
      </c>
      <c r="M30" s="22">
        <v>2148</v>
      </c>
      <c r="N30" s="22">
        <v>2148</v>
      </c>
      <c r="O30" s="22">
        <v>1243</v>
      </c>
      <c r="P30" s="22">
        <v>921</v>
      </c>
      <c r="Q30" s="22">
        <v>609</v>
      </c>
      <c r="R30" s="22">
        <v>1566</v>
      </c>
      <c r="S30" s="22">
        <v>1566</v>
      </c>
      <c r="T30" s="22">
        <v>596</v>
      </c>
      <c r="U30" s="22">
        <v>863</v>
      </c>
      <c r="V30" s="22">
        <v>597</v>
      </c>
      <c r="W30" s="22">
        <v>0</v>
      </c>
      <c r="X30" s="22">
        <v>0</v>
      </c>
      <c r="Y30" s="22">
        <v>718</v>
      </c>
      <c r="Z30" s="22">
        <v>2491</v>
      </c>
      <c r="AA30" s="22">
        <v>713</v>
      </c>
      <c r="AB30" s="22">
        <v>0</v>
      </c>
      <c r="AC30" s="22">
        <v>0</v>
      </c>
      <c r="AD30" s="22">
        <v>836</v>
      </c>
      <c r="AE30" s="22">
        <v>1610</v>
      </c>
      <c r="AF30" s="22">
        <v>850</v>
      </c>
      <c r="AG30" s="22">
        <v>0</v>
      </c>
      <c r="AH30" s="22">
        <v>0</v>
      </c>
      <c r="AI30" s="22">
        <v>0</v>
      </c>
      <c r="AJ30" s="22"/>
      <c r="AK30" s="22">
        <v>0</v>
      </c>
      <c r="AL30" s="22">
        <v>0</v>
      </c>
      <c r="AM30" s="22">
        <v>0</v>
      </c>
      <c r="AN30" s="22">
        <v>0</v>
      </c>
    </row>
    <row r="31" spans="3:40">
      <c r="C31" s="4"/>
      <c r="D31" s="19" t="s">
        <v>22</v>
      </c>
      <c r="E31" s="23"/>
      <c r="F31" s="22">
        <v>3522.3919999999998</v>
      </c>
      <c r="G31" s="23">
        <v>0</v>
      </c>
      <c r="H31" s="23">
        <v>0</v>
      </c>
      <c r="I31" s="125">
        <v>0</v>
      </c>
      <c r="J31" s="125">
        <v>0</v>
      </c>
      <c r="K31" s="125">
        <v>0</v>
      </c>
      <c r="L31" s="125">
        <v>0</v>
      </c>
      <c r="M31" s="125">
        <v>0</v>
      </c>
      <c r="N31" s="125">
        <v>0</v>
      </c>
      <c r="O31" s="125">
        <v>0</v>
      </c>
      <c r="P31" s="125">
        <v>0</v>
      </c>
      <c r="Q31" s="125">
        <v>0</v>
      </c>
      <c r="R31" s="125">
        <v>0</v>
      </c>
      <c r="S31" s="125">
        <v>0</v>
      </c>
      <c r="T31" s="125">
        <v>0</v>
      </c>
      <c r="U31" s="125">
        <v>0</v>
      </c>
      <c r="V31" s="125">
        <v>0</v>
      </c>
      <c r="W31" s="125">
        <v>0</v>
      </c>
      <c r="X31" s="125">
        <v>0</v>
      </c>
      <c r="Y31" s="125">
        <v>0</v>
      </c>
      <c r="Z31" s="125">
        <v>0</v>
      </c>
      <c r="AA31" s="22">
        <v>0</v>
      </c>
      <c r="AB31" s="125">
        <v>0</v>
      </c>
      <c r="AC31" s="125">
        <v>0</v>
      </c>
      <c r="AD31" s="22">
        <v>0</v>
      </c>
      <c r="AE31" s="125">
        <v>20053</v>
      </c>
      <c r="AF31" s="125">
        <v>42627</v>
      </c>
      <c r="AG31" s="125">
        <v>28719</v>
      </c>
      <c r="AH31" s="125">
        <v>28719</v>
      </c>
      <c r="AI31" s="125">
        <v>40263</v>
      </c>
      <c r="AJ31" s="125">
        <v>35729</v>
      </c>
      <c r="AK31" s="125">
        <v>29908</v>
      </c>
      <c r="AL31" s="125">
        <v>32263</v>
      </c>
      <c r="AM31" s="125">
        <v>32263</v>
      </c>
      <c r="AN31" s="23">
        <v>86318</v>
      </c>
    </row>
    <row r="32" spans="3:40">
      <c r="C32" s="4"/>
      <c r="D32" s="19" t="s">
        <v>23</v>
      </c>
      <c r="E32" s="23"/>
      <c r="F32" s="23">
        <v>0</v>
      </c>
      <c r="G32" s="23">
        <v>0</v>
      </c>
      <c r="H32" s="23">
        <v>0</v>
      </c>
      <c r="I32" s="125">
        <v>0</v>
      </c>
      <c r="J32" s="125">
        <v>4998</v>
      </c>
      <c r="K32" s="125">
        <v>6264</v>
      </c>
      <c r="L32" s="125">
        <v>3893</v>
      </c>
      <c r="M32" s="125">
        <v>3917</v>
      </c>
      <c r="N32" s="125">
        <v>3917</v>
      </c>
      <c r="O32" s="125">
        <v>3859</v>
      </c>
      <c r="P32" s="125">
        <v>3801</v>
      </c>
      <c r="Q32" s="125">
        <v>3743</v>
      </c>
      <c r="R32" s="125">
        <v>3685</v>
      </c>
      <c r="S32" s="125">
        <v>3685</v>
      </c>
      <c r="T32" s="125">
        <v>3617</v>
      </c>
      <c r="U32" s="125">
        <v>3562</v>
      </c>
      <c r="V32" s="125">
        <v>3508</v>
      </c>
      <c r="W32" s="125">
        <v>5209</v>
      </c>
      <c r="X32" s="125">
        <v>5209</v>
      </c>
      <c r="Y32" s="125">
        <v>5209</v>
      </c>
      <c r="Z32" s="125">
        <v>5209</v>
      </c>
      <c r="AA32" s="125">
        <v>5209</v>
      </c>
      <c r="AB32" s="125">
        <v>5615</v>
      </c>
      <c r="AC32" s="125">
        <v>5615</v>
      </c>
      <c r="AD32" s="125">
        <v>5615</v>
      </c>
      <c r="AE32" s="125">
        <v>5615</v>
      </c>
      <c r="AF32" s="125">
        <v>5615</v>
      </c>
      <c r="AG32" s="125">
        <v>5858</v>
      </c>
      <c r="AH32" s="125">
        <v>5858</v>
      </c>
      <c r="AI32" s="125">
        <v>5858</v>
      </c>
      <c r="AJ32" s="125">
        <v>5858</v>
      </c>
      <c r="AK32" s="125">
        <v>5858</v>
      </c>
      <c r="AL32" s="125">
        <v>6120</v>
      </c>
      <c r="AM32" s="125">
        <v>6120</v>
      </c>
      <c r="AN32" s="23">
        <v>6120</v>
      </c>
    </row>
    <row r="33" spans="3:40" ht="21.75">
      <c r="C33" s="4"/>
      <c r="D33" s="15" t="s">
        <v>24</v>
      </c>
      <c r="E33" s="24"/>
      <c r="F33" s="24">
        <v>2456453.787</v>
      </c>
      <c r="G33" s="24">
        <v>72883.957999999999</v>
      </c>
      <c r="H33" s="24">
        <v>3262</v>
      </c>
      <c r="I33" s="24">
        <v>3262</v>
      </c>
      <c r="J33" s="24">
        <v>31571</v>
      </c>
      <c r="K33" s="24">
        <v>70845</v>
      </c>
      <c r="L33" s="24">
        <v>16780</v>
      </c>
      <c r="M33" s="24">
        <v>31024</v>
      </c>
      <c r="N33" s="24">
        <v>31024</v>
      </c>
      <c r="O33" s="24">
        <v>35412</v>
      </c>
      <c r="P33" s="24">
        <v>39014</v>
      </c>
      <c r="Q33" s="24">
        <v>53573</v>
      </c>
      <c r="R33" s="24">
        <v>26176</v>
      </c>
      <c r="S33" s="24">
        <v>26176</v>
      </c>
      <c r="T33" s="24">
        <v>34212</v>
      </c>
      <c r="U33" s="24">
        <v>36707</v>
      </c>
      <c r="V33" s="24">
        <v>58756</v>
      </c>
      <c r="W33" s="24">
        <v>46751</v>
      </c>
      <c r="X33" s="24">
        <v>46751</v>
      </c>
      <c r="Y33" s="24">
        <v>18820</v>
      </c>
      <c r="Z33" s="24">
        <v>41610</v>
      </c>
      <c r="AA33" s="24">
        <v>54030</v>
      </c>
      <c r="AB33" s="24">
        <v>21921</v>
      </c>
      <c r="AC33" s="24">
        <v>21921</v>
      </c>
      <c r="AD33" s="24">
        <v>33349</v>
      </c>
      <c r="AE33" s="24">
        <v>61520</v>
      </c>
      <c r="AF33" s="24">
        <v>123753</v>
      </c>
      <c r="AG33" s="24">
        <v>226382</v>
      </c>
      <c r="AH33" s="24">
        <v>226382</v>
      </c>
      <c r="AI33" s="24">
        <v>146106</v>
      </c>
      <c r="AJ33" s="24">
        <v>284774</v>
      </c>
      <c r="AK33" s="24">
        <v>171042</v>
      </c>
      <c r="AL33" s="24">
        <v>238615</v>
      </c>
      <c r="AM33" s="24">
        <v>238615</v>
      </c>
      <c r="AN33" s="24">
        <v>178035</v>
      </c>
    </row>
    <row r="34" spans="3:40" ht="21.75">
      <c r="C34" s="4"/>
      <c r="D34" s="4"/>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row>
    <row r="35" spans="3:40" ht="21.75">
      <c r="C35" s="4"/>
      <c r="D35" s="16" t="s">
        <v>25</v>
      </c>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row>
    <row r="36" spans="3:40">
      <c r="C36" s="4"/>
      <c r="D36" s="19" t="s">
        <v>26</v>
      </c>
      <c r="E36" s="23"/>
      <c r="F36" s="23">
        <v>0</v>
      </c>
      <c r="G36" s="23">
        <v>0</v>
      </c>
      <c r="H36" s="23">
        <v>0</v>
      </c>
      <c r="I36" s="125">
        <v>0</v>
      </c>
      <c r="J36" s="125">
        <v>0</v>
      </c>
      <c r="K36" s="125">
        <v>0</v>
      </c>
      <c r="L36" s="125">
        <v>0</v>
      </c>
      <c r="M36" s="125">
        <v>0</v>
      </c>
      <c r="N36" s="125">
        <v>0</v>
      </c>
      <c r="O36" s="125">
        <v>0</v>
      </c>
      <c r="P36" s="125">
        <v>0</v>
      </c>
      <c r="Q36" s="125">
        <v>0</v>
      </c>
      <c r="R36" s="125">
        <v>0</v>
      </c>
      <c r="S36" s="125">
        <v>0</v>
      </c>
      <c r="T36" s="125">
        <v>0</v>
      </c>
      <c r="U36" s="125">
        <v>0</v>
      </c>
      <c r="V36" s="125">
        <v>0</v>
      </c>
      <c r="W36" s="125">
        <v>0</v>
      </c>
      <c r="X36" s="125">
        <v>0</v>
      </c>
      <c r="Y36" s="125">
        <v>0</v>
      </c>
      <c r="Z36" s="125">
        <v>5676970</v>
      </c>
      <c r="AA36" s="125">
        <v>5602499</v>
      </c>
      <c r="AB36" s="125">
        <v>5618028</v>
      </c>
      <c r="AC36" s="125">
        <v>5618028</v>
      </c>
      <c r="AD36" s="125">
        <v>5633593</v>
      </c>
      <c r="AE36" s="125">
        <v>5648861</v>
      </c>
      <c r="AF36" s="125">
        <v>5680150</v>
      </c>
      <c r="AG36" s="125">
        <v>7717142</v>
      </c>
      <c r="AH36" s="125">
        <v>7717142</v>
      </c>
      <c r="AI36" s="125">
        <v>7807852</v>
      </c>
      <c r="AJ36" s="125">
        <v>7817773</v>
      </c>
      <c r="AK36" s="125">
        <v>7898229</v>
      </c>
      <c r="AL36" s="125">
        <v>7961560</v>
      </c>
      <c r="AM36" s="125">
        <v>7961560</v>
      </c>
      <c r="AN36" s="23">
        <v>8016519</v>
      </c>
    </row>
    <row r="37" spans="3:40">
      <c r="C37" s="4"/>
      <c r="D37" s="19" t="s">
        <v>23</v>
      </c>
      <c r="E37" s="23"/>
      <c r="F37" s="23">
        <v>0</v>
      </c>
      <c r="G37" s="23">
        <v>0</v>
      </c>
      <c r="H37" s="23">
        <v>0</v>
      </c>
      <c r="I37" s="125">
        <v>0</v>
      </c>
      <c r="J37" s="125">
        <v>30947</v>
      </c>
      <c r="K37" s="125">
        <v>30516</v>
      </c>
      <c r="L37" s="125">
        <v>30300</v>
      </c>
      <c r="M37" s="125">
        <v>36697</v>
      </c>
      <c r="N37" s="125">
        <v>36697</v>
      </c>
      <c r="O37" s="125">
        <v>36535</v>
      </c>
      <c r="P37" s="125">
        <v>36383</v>
      </c>
      <c r="Q37" s="125">
        <v>36231</v>
      </c>
      <c r="R37" s="125">
        <v>36081</v>
      </c>
      <c r="S37" s="125">
        <v>36081</v>
      </c>
      <c r="T37" s="125">
        <v>35867</v>
      </c>
      <c r="U37" s="125">
        <v>35653</v>
      </c>
      <c r="V37" s="125">
        <v>35439</v>
      </c>
      <c r="W37" s="125">
        <v>31163</v>
      </c>
      <c r="X37" s="125">
        <v>31163</v>
      </c>
      <c r="Y37" s="125">
        <v>30724</v>
      </c>
      <c r="Z37" s="125">
        <v>30502</v>
      </c>
      <c r="AA37" s="125">
        <v>29847</v>
      </c>
      <c r="AB37" s="125">
        <v>31538</v>
      </c>
      <c r="AC37" s="125">
        <v>31538</v>
      </c>
      <c r="AD37" s="125">
        <v>31017</v>
      </c>
      <c r="AE37" s="125">
        <v>31899</v>
      </c>
      <c r="AF37" s="125">
        <v>29974</v>
      </c>
      <c r="AG37" s="125">
        <v>30725</v>
      </c>
      <c r="AH37" s="125">
        <v>30725</v>
      </c>
      <c r="AI37" s="125">
        <v>30129</v>
      </c>
      <c r="AJ37" s="125">
        <v>29534</v>
      </c>
      <c r="AK37" s="125">
        <v>28938</v>
      </c>
      <c r="AL37" s="125">
        <v>29633</v>
      </c>
      <c r="AM37" s="125">
        <v>29633</v>
      </c>
      <c r="AN37" s="23">
        <v>28951</v>
      </c>
    </row>
    <row r="38" spans="3:40">
      <c r="C38" s="4"/>
      <c r="D38" s="19" t="s">
        <v>27</v>
      </c>
      <c r="E38" s="23"/>
      <c r="F38" s="23">
        <v>0</v>
      </c>
      <c r="G38" s="23">
        <v>0</v>
      </c>
      <c r="H38" s="23">
        <v>0</v>
      </c>
      <c r="I38" s="125">
        <v>0</v>
      </c>
      <c r="J38" s="125">
        <v>0</v>
      </c>
      <c r="K38" s="125">
        <v>0</v>
      </c>
      <c r="L38" s="125">
        <v>0</v>
      </c>
      <c r="M38" s="125">
        <v>44</v>
      </c>
      <c r="N38" s="125">
        <v>44</v>
      </c>
      <c r="O38" s="125">
        <v>55</v>
      </c>
      <c r="P38" s="125">
        <v>66</v>
      </c>
      <c r="Q38" s="125">
        <v>77</v>
      </c>
      <c r="R38" s="125">
        <v>100</v>
      </c>
      <c r="S38" s="125">
        <v>100</v>
      </c>
      <c r="T38" s="125">
        <v>114</v>
      </c>
      <c r="U38" s="125">
        <v>128</v>
      </c>
      <c r="V38" s="125">
        <v>142</v>
      </c>
      <c r="W38" s="125">
        <v>175</v>
      </c>
      <c r="X38" s="125">
        <v>175</v>
      </c>
      <c r="Y38" s="125">
        <v>195</v>
      </c>
      <c r="Z38" s="125">
        <v>0</v>
      </c>
      <c r="AA38" s="125">
        <v>236</v>
      </c>
      <c r="AB38" s="125">
        <v>256</v>
      </c>
      <c r="AC38" s="125">
        <v>256</v>
      </c>
      <c r="AD38" s="125">
        <v>279</v>
      </c>
      <c r="AE38" s="125">
        <v>301</v>
      </c>
      <c r="AF38" s="125">
        <v>327</v>
      </c>
      <c r="AG38" s="125">
        <v>356</v>
      </c>
      <c r="AH38" s="125">
        <v>356</v>
      </c>
      <c r="AI38" s="125">
        <v>388</v>
      </c>
      <c r="AJ38" s="125">
        <v>395</v>
      </c>
      <c r="AK38" s="125">
        <v>423</v>
      </c>
      <c r="AL38" s="125">
        <v>433</v>
      </c>
      <c r="AM38" s="125">
        <v>433</v>
      </c>
      <c r="AN38" s="23">
        <v>456</v>
      </c>
    </row>
    <row r="39" spans="3:40" ht="21.75">
      <c r="C39" s="4"/>
      <c r="D39" s="15" t="s">
        <v>28</v>
      </c>
      <c r="E39" s="24"/>
      <c r="F39" s="24">
        <v>0</v>
      </c>
      <c r="G39" s="24">
        <v>0</v>
      </c>
      <c r="H39" s="24">
        <v>0</v>
      </c>
      <c r="I39" s="24">
        <v>0</v>
      </c>
      <c r="J39" s="24">
        <v>30947</v>
      </c>
      <c r="K39" s="24">
        <v>30516</v>
      </c>
      <c r="L39" s="24">
        <v>30300</v>
      </c>
      <c r="M39" s="24">
        <v>36741</v>
      </c>
      <c r="N39" s="24">
        <v>36741</v>
      </c>
      <c r="O39" s="24">
        <v>36590</v>
      </c>
      <c r="P39" s="24">
        <v>36449</v>
      </c>
      <c r="Q39" s="24">
        <v>36308</v>
      </c>
      <c r="R39" s="24">
        <v>36181</v>
      </c>
      <c r="S39" s="24">
        <v>36181</v>
      </c>
      <c r="T39" s="24">
        <v>35981</v>
      </c>
      <c r="U39" s="24">
        <v>35781</v>
      </c>
      <c r="V39" s="24">
        <v>35581</v>
      </c>
      <c r="W39" s="24">
        <v>31338</v>
      </c>
      <c r="X39" s="24">
        <v>31338</v>
      </c>
      <c r="Y39" s="24">
        <v>30919</v>
      </c>
      <c r="Z39" s="24">
        <v>5707472</v>
      </c>
      <c r="AA39" s="24">
        <v>5632582</v>
      </c>
      <c r="AB39" s="24">
        <v>5649822</v>
      </c>
      <c r="AC39" s="24">
        <v>5649822</v>
      </c>
      <c r="AD39" s="24">
        <v>5664889</v>
      </c>
      <c r="AE39" s="24">
        <v>5681061</v>
      </c>
      <c r="AF39" s="24">
        <v>5710451</v>
      </c>
      <c r="AG39" s="24">
        <v>7748223</v>
      </c>
      <c r="AH39" s="24">
        <v>7748223</v>
      </c>
      <c r="AI39" s="24">
        <v>7838369</v>
      </c>
      <c r="AJ39" s="24">
        <v>7847702</v>
      </c>
      <c r="AK39" s="24">
        <v>7927590</v>
      </c>
      <c r="AL39" s="24">
        <v>7991626</v>
      </c>
      <c r="AM39" s="24">
        <v>7991626</v>
      </c>
      <c r="AN39" s="24">
        <v>8045926</v>
      </c>
    </row>
    <row r="40" spans="3:40" ht="21.75">
      <c r="C40" s="4"/>
      <c r="D40" s="4"/>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row>
    <row r="41" spans="3:40" ht="21.75">
      <c r="C41" s="4"/>
      <c r="D41" s="15" t="s">
        <v>29</v>
      </c>
      <c r="E41" s="24"/>
      <c r="F41" s="24">
        <v>2456453.787</v>
      </c>
      <c r="G41" s="24">
        <v>72883.957999999999</v>
      </c>
      <c r="H41" s="24">
        <v>3262</v>
      </c>
      <c r="I41" s="24">
        <v>3262</v>
      </c>
      <c r="J41" s="24">
        <v>62518</v>
      </c>
      <c r="K41" s="24">
        <v>101361</v>
      </c>
      <c r="L41" s="24">
        <v>47080</v>
      </c>
      <c r="M41" s="24">
        <v>67765</v>
      </c>
      <c r="N41" s="24">
        <v>67765</v>
      </c>
      <c r="O41" s="24">
        <v>72002</v>
      </c>
      <c r="P41" s="24">
        <v>75463</v>
      </c>
      <c r="Q41" s="24">
        <v>89881</v>
      </c>
      <c r="R41" s="24">
        <v>62357</v>
      </c>
      <c r="S41" s="24">
        <v>62357</v>
      </c>
      <c r="T41" s="24">
        <v>70193</v>
      </c>
      <c r="U41" s="24">
        <v>72488</v>
      </c>
      <c r="V41" s="24">
        <v>94337</v>
      </c>
      <c r="W41" s="24">
        <v>78089</v>
      </c>
      <c r="X41" s="24">
        <v>78089</v>
      </c>
      <c r="Y41" s="24">
        <v>49739</v>
      </c>
      <c r="Z41" s="24">
        <v>5749082</v>
      </c>
      <c r="AA41" s="24">
        <v>5686612</v>
      </c>
      <c r="AB41" s="24">
        <v>5671743</v>
      </c>
      <c r="AC41" s="24">
        <v>5671743</v>
      </c>
      <c r="AD41" s="24">
        <v>5698238</v>
      </c>
      <c r="AE41" s="24">
        <v>5742581</v>
      </c>
      <c r="AF41" s="24">
        <v>5834204</v>
      </c>
      <c r="AG41" s="24">
        <v>7974605</v>
      </c>
      <c r="AH41" s="24">
        <v>7974605</v>
      </c>
      <c r="AI41" s="24">
        <v>7984475</v>
      </c>
      <c r="AJ41" s="24">
        <v>8132476</v>
      </c>
      <c r="AK41" s="24">
        <v>8098632</v>
      </c>
      <c r="AL41" s="24">
        <v>8230241</v>
      </c>
      <c r="AM41" s="24">
        <v>8230241</v>
      </c>
      <c r="AN41" s="24">
        <v>8223961</v>
      </c>
    </row>
    <row r="42" spans="3:40" ht="21.75">
      <c r="C42" s="4"/>
      <c r="D42" s="16"/>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row>
    <row r="43" spans="3:40" ht="21.75">
      <c r="C43" s="4"/>
      <c r="D43" s="16" t="s">
        <v>30</v>
      </c>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row>
    <row r="44" spans="3:40" ht="21.75">
      <c r="C44" s="4"/>
      <c r="D44" s="19" t="s">
        <v>31</v>
      </c>
      <c r="E44" s="22"/>
      <c r="F44" s="22">
        <v>23480000.000999998</v>
      </c>
      <c r="G44" s="22">
        <v>24542608.021000002</v>
      </c>
      <c r="H44" s="22">
        <v>27924775</v>
      </c>
      <c r="I44" s="22">
        <v>27924775</v>
      </c>
      <c r="J44" s="22">
        <v>27833375</v>
      </c>
      <c r="K44" s="22">
        <v>27641094</v>
      </c>
      <c r="L44" s="22">
        <v>27482873</v>
      </c>
      <c r="M44" s="22">
        <v>27164535</v>
      </c>
      <c r="N44" s="22">
        <v>27164535</v>
      </c>
      <c r="O44" s="22">
        <v>26881172</v>
      </c>
      <c r="P44" s="22">
        <v>26644701</v>
      </c>
      <c r="Q44" s="22">
        <v>26398544</v>
      </c>
      <c r="R44" s="22">
        <v>26084657</v>
      </c>
      <c r="S44" s="22">
        <v>26084657</v>
      </c>
      <c r="T44" s="22">
        <v>25813829</v>
      </c>
      <c r="U44" s="22">
        <v>25530259</v>
      </c>
      <c r="V44" s="22">
        <v>25222104</v>
      </c>
      <c r="W44" s="22">
        <v>24920846</v>
      </c>
      <c r="X44" s="22">
        <v>24920846</v>
      </c>
      <c r="Y44" s="22">
        <v>24587030</v>
      </c>
      <c r="Z44" s="22">
        <v>24287007</v>
      </c>
      <c r="AA44" s="22">
        <v>23994833</v>
      </c>
      <c r="AB44" s="22">
        <v>23688342</v>
      </c>
      <c r="AC44" s="22">
        <v>23688342</v>
      </c>
      <c r="AD44" s="22">
        <v>23378681</v>
      </c>
      <c r="AE44" s="22">
        <v>23089524</v>
      </c>
      <c r="AF44" s="22">
        <v>22782261</v>
      </c>
      <c r="AG44" s="22">
        <v>22426338</v>
      </c>
      <c r="AH44" s="22">
        <v>22426338</v>
      </c>
      <c r="AI44" s="22">
        <v>22110624</v>
      </c>
      <c r="AJ44" s="22">
        <v>21723345</v>
      </c>
      <c r="AK44" s="22">
        <v>21409495</v>
      </c>
      <c r="AL44" s="22">
        <v>21006793</v>
      </c>
      <c r="AM44" s="22">
        <v>21006793</v>
      </c>
      <c r="AN44" s="22">
        <v>20620964</v>
      </c>
    </row>
    <row r="45" spans="3:40" ht="21.75">
      <c r="C45" s="4"/>
      <c r="D45" s="19" t="s">
        <v>32</v>
      </c>
      <c r="E45" s="22"/>
      <c r="F45" s="22">
        <v>-351809.527</v>
      </c>
      <c r="G45" s="22">
        <v>-365136.98700000002</v>
      </c>
      <c r="H45" s="22">
        <v>-365137</v>
      </c>
      <c r="I45" s="22">
        <v>-365137</v>
      </c>
      <c r="J45" s="22">
        <v>-365137</v>
      </c>
      <c r="K45" s="22">
        <v>-365137</v>
      </c>
      <c r="L45" s="22">
        <v>-365137</v>
      </c>
      <c r="M45" s="22">
        <v>-365137</v>
      </c>
      <c r="N45" s="22">
        <v>-365137</v>
      </c>
      <c r="O45" s="22">
        <v>-365137</v>
      </c>
      <c r="P45" s="22">
        <v>-365137</v>
      </c>
      <c r="Q45" s="22">
        <v>-365137</v>
      </c>
      <c r="R45" s="22">
        <v>-365137</v>
      </c>
      <c r="S45" s="22">
        <v>-365137</v>
      </c>
      <c r="T45" s="22">
        <v>-365137</v>
      </c>
      <c r="U45" s="22">
        <v>-365137</v>
      </c>
      <c r="V45" s="22">
        <v>-365137</v>
      </c>
      <c r="W45" s="22">
        <v>-365137</v>
      </c>
      <c r="X45" s="22">
        <v>-365137</v>
      </c>
      <c r="Y45" s="22">
        <v>-365137</v>
      </c>
      <c r="Z45" s="22">
        <v>-365137</v>
      </c>
      <c r="AA45" s="22">
        <v>-365137</v>
      </c>
      <c r="AB45" s="22">
        <v>-365137</v>
      </c>
      <c r="AC45" s="22">
        <v>-365137</v>
      </c>
      <c r="AD45" s="22">
        <v>-365137</v>
      </c>
      <c r="AE45" s="22">
        <v>-365137</v>
      </c>
      <c r="AF45" s="22">
        <v>-365137</v>
      </c>
      <c r="AG45" s="22">
        <v>-365137</v>
      </c>
      <c r="AH45" s="22">
        <v>-365137</v>
      </c>
      <c r="AI45" s="22">
        <v>-365137</v>
      </c>
      <c r="AJ45" s="22">
        <v>-365137</v>
      </c>
      <c r="AK45" s="22">
        <v>-365137</v>
      </c>
      <c r="AL45" s="22">
        <v>-365137</v>
      </c>
      <c r="AM45" s="22">
        <v>-365137</v>
      </c>
      <c r="AN45" s="22">
        <v>-365137</v>
      </c>
    </row>
    <row r="46" spans="3:40" ht="21.75">
      <c r="C46" s="4"/>
      <c r="D46" s="19" t="s">
        <v>33</v>
      </c>
      <c r="E46" s="22"/>
      <c r="F46" s="22">
        <v>21260.681</v>
      </c>
      <c r="G46" s="22">
        <v>594538</v>
      </c>
      <c r="H46" s="22">
        <v>368006</v>
      </c>
      <c r="I46" s="22">
        <v>368006</v>
      </c>
      <c r="J46" s="22">
        <v>468979</v>
      </c>
      <c r="K46" s="22">
        <v>648339</v>
      </c>
      <c r="L46" s="22">
        <v>846794</v>
      </c>
      <c r="M46" s="22">
        <v>1355789</v>
      </c>
      <c r="N46" s="22">
        <v>1355789</v>
      </c>
      <c r="O46" s="22">
        <v>1640117</v>
      </c>
      <c r="P46" s="22">
        <v>1894242</v>
      </c>
      <c r="Q46" s="22">
        <v>2142736</v>
      </c>
      <c r="R46" s="22">
        <v>2917787</v>
      </c>
      <c r="S46" s="22">
        <v>2917787</v>
      </c>
      <c r="T46" s="22">
        <v>3179238</v>
      </c>
      <c r="U46" s="22">
        <v>3455265</v>
      </c>
      <c r="V46" s="22">
        <v>3766278</v>
      </c>
      <c r="W46" s="22">
        <v>5159823</v>
      </c>
      <c r="X46" s="22">
        <v>5159823</v>
      </c>
      <c r="Y46" s="22">
        <v>5497327</v>
      </c>
      <c r="Z46" s="22">
        <v>5759789</v>
      </c>
      <c r="AA46" s="22">
        <v>6070080</v>
      </c>
      <c r="AB46" s="22">
        <v>7737683</v>
      </c>
      <c r="AC46" s="22">
        <v>7737683</v>
      </c>
      <c r="AD46" s="22">
        <v>8057332</v>
      </c>
      <c r="AE46" s="22">
        <v>8332342</v>
      </c>
      <c r="AF46" s="22">
        <v>8663783</v>
      </c>
      <c r="AG46" s="22">
        <v>10003948</v>
      </c>
      <c r="AH46" s="22">
        <v>10003948</v>
      </c>
      <c r="AI46" s="22">
        <v>10282269</v>
      </c>
      <c r="AJ46" s="22">
        <v>10690930</v>
      </c>
      <c r="AK46" s="22">
        <v>10975630</v>
      </c>
      <c r="AL46" s="22">
        <v>12104517</v>
      </c>
      <c r="AM46" s="22">
        <v>12104517</v>
      </c>
      <c r="AN46" s="22">
        <v>12448169</v>
      </c>
    </row>
    <row r="47" spans="3:40" ht="21.75">
      <c r="C47" s="4"/>
      <c r="D47" s="4"/>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row>
    <row r="48" spans="3:40" ht="21.75">
      <c r="C48" s="4"/>
      <c r="D48" s="15" t="s">
        <v>34</v>
      </c>
      <c r="E48" s="24"/>
      <c r="F48" s="24">
        <v>23149451.155000001</v>
      </c>
      <c r="G48" s="24">
        <v>24772009.034000002</v>
      </c>
      <c r="H48" s="24">
        <v>27927644</v>
      </c>
      <c r="I48" s="24">
        <v>27927644</v>
      </c>
      <c r="J48" s="24">
        <v>27937217</v>
      </c>
      <c r="K48" s="24">
        <v>27924296</v>
      </c>
      <c r="L48" s="24">
        <v>27964530</v>
      </c>
      <c r="M48" s="24">
        <v>28155187</v>
      </c>
      <c r="N48" s="24">
        <v>28155187</v>
      </c>
      <c r="O48" s="24">
        <v>28156152</v>
      </c>
      <c r="P48" s="24">
        <v>28173806</v>
      </c>
      <c r="Q48" s="24">
        <v>28176143</v>
      </c>
      <c r="R48" s="24">
        <v>28637307</v>
      </c>
      <c r="S48" s="24">
        <v>28637307</v>
      </c>
      <c r="T48" s="24">
        <v>28627930</v>
      </c>
      <c r="U48" s="24">
        <v>28620387</v>
      </c>
      <c r="V48" s="24">
        <v>28623245</v>
      </c>
      <c r="W48" s="24">
        <v>29715532</v>
      </c>
      <c r="X48" s="24">
        <v>29715532</v>
      </c>
      <c r="Y48" s="24">
        <v>29719220</v>
      </c>
      <c r="Z48" s="24">
        <v>29681659</v>
      </c>
      <c r="AA48" s="24">
        <v>29699776</v>
      </c>
      <c r="AB48" s="24">
        <v>31060888</v>
      </c>
      <c r="AC48" s="24">
        <v>31060888</v>
      </c>
      <c r="AD48" s="24">
        <v>31070876</v>
      </c>
      <c r="AE48" s="24">
        <v>31056729</v>
      </c>
      <c r="AF48" s="24">
        <v>31080907</v>
      </c>
      <c r="AG48" s="24">
        <v>32065149</v>
      </c>
      <c r="AH48" s="24">
        <v>32065149</v>
      </c>
      <c r="AI48" s="24">
        <v>32027756</v>
      </c>
      <c r="AJ48" s="24">
        <v>32049138</v>
      </c>
      <c r="AK48" s="24">
        <v>32019988</v>
      </c>
      <c r="AL48" s="24">
        <v>32746173</v>
      </c>
      <c r="AM48" s="24">
        <v>32746173</v>
      </c>
      <c r="AN48" s="24">
        <v>32703996</v>
      </c>
    </row>
    <row r="49" spans="1:43" ht="21.75">
      <c r="C49" s="4"/>
      <c r="D49" s="10"/>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row>
    <row r="50" spans="1:43" ht="21.75">
      <c r="C50" s="4"/>
      <c r="D50" s="17" t="s">
        <v>35</v>
      </c>
      <c r="E50" s="30"/>
      <c r="F50" s="30">
        <v>25605904.942000002</v>
      </c>
      <c r="G50" s="30">
        <v>24844892.992000002</v>
      </c>
      <c r="H50" s="30">
        <v>27930906</v>
      </c>
      <c r="I50" s="30">
        <v>27930906</v>
      </c>
      <c r="J50" s="30">
        <v>27999735</v>
      </c>
      <c r="K50" s="30">
        <v>28025657</v>
      </c>
      <c r="L50" s="30">
        <v>28011610</v>
      </c>
      <c r="M50" s="30">
        <v>28222952</v>
      </c>
      <c r="N50" s="30">
        <v>28222952</v>
      </c>
      <c r="O50" s="30">
        <v>28228154</v>
      </c>
      <c r="P50" s="30">
        <v>28249269</v>
      </c>
      <c r="Q50" s="30">
        <v>28266024</v>
      </c>
      <c r="R50" s="30">
        <v>28699664</v>
      </c>
      <c r="S50" s="30">
        <v>28699664</v>
      </c>
      <c r="T50" s="30">
        <v>28698123</v>
      </c>
      <c r="U50" s="30">
        <v>28692875</v>
      </c>
      <c r="V50" s="30">
        <v>28717582</v>
      </c>
      <c r="W50" s="30">
        <v>29793621</v>
      </c>
      <c r="X50" s="30">
        <v>29793621</v>
      </c>
      <c r="Y50" s="30">
        <v>29768959</v>
      </c>
      <c r="Z50" s="30">
        <v>35430741</v>
      </c>
      <c r="AA50" s="30">
        <v>35386388</v>
      </c>
      <c r="AB50" s="30">
        <v>36732631</v>
      </c>
      <c r="AC50" s="30">
        <v>36732631</v>
      </c>
      <c r="AD50" s="30">
        <v>36769114</v>
      </c>
      <c r="AE50" s="30">
        <v>36799310</v>
      </c>
      <c r="AF50" s="30">
        <v>36915111</v>
      </c>
      <c r="AG50" s="30">
        <v>40039754</v>
      </c>
      <c r="AH50" s="30">
        <v>40039754</v>
      </c>
      <c r="AI50" s="30">
        <v>40012231</v>
      </c>
      <c r="AJ50" s="30">
        <v>40181614</v>
      </c>
      <c r="AK50" s="30">
        <v>40118620</v>
      </c>
      <c r="AL50" s="30">
        <v>40976414</v>
      </c>
      <c r="AM50" s="30">
        <v>40976414</v>
      </c>
      <c r="AN50" s="30">
        <v>40927957</v>
      </c>
    </row>
    <row r="51" spans="1:43">
      <c r="C51" s="4"/>
      <c r="D51" s="4"/>
      <c r="I51" s="99"/>
      <c r="N51" s="99"/>
      <c r="S51" s="99"/>
      <c r="X51" s="99"/>
      <c r="AC51" s="99"/>
      <c r="AH51" s="99"/>
      <c r="AM51" s="99"/>
    </row>
    <row r="52" spans="1:43">
      <c r="A52" s="7" t="s">
        <v>53</v>
      </c>
      <c r="AQ52" s="7" t="s">
        <v>53</v>
      </c>
    </row>
  </sheetData>
  <hyperlinks>
    <hyperlink ref="B2" location="Indice!A1" display="Regreso al índice" xr:uid="{4A7BC403-9387-4578-BA51-683D4821288D}"/>
  </hyperlinks>
  <pageMargins left="0.7" right="0.7" top="0.75" bottom="0.75" header="0.3" footer="0.3"/>
  <pageSetup scale="33"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F8E33-CF88-4E77-AA75-C44769B51AC3}">
  <dimension ref="A1:AQ52"/>
  <sheetViews>
    <sheetView showGridLines="0" view="pageBreakPreview" zoomScale="70" zoomScaleNormal="100" zoomScaleSheetLayoutView="70" workbookViewId="0"/>
  </sheetViews>
  <sheetFormatPr baseColWidth="10" defaultColWidth="9.1640625" defaultRowHeight="23.25" outlineLevelCol="1"/>
  <cols>
    <col min="1" max="2" width="1.6640625" style="8" customWidth="1"/>
    <col min="3" max="3" width="8.6640625" style="8" customWidth="1"/>
    <col min="4" max="4" width="86.83203125" style="8" customWidth="1"/>
    <col min="5" max="6" width="18.6640625" style="32" hidden="1" customWidth="1" outlineLevel="1"/>
    <col min="7" max="7" width="21.6640625" style="32" hidden="1" customWidth="1" outlineLevel="1"/>
    <col min="8" max="8" width="20.83203125" style="32" hidden="1" customWidth="1" outlineLevel="1"/>
    <col min="9" max="9" width="20.83203125" style="8" bestFit="1" customWidth="1" collapsed="1"/>
    <col min="10" max="10" width="18.6640625" style="32" hidden="1" customWidth="1" outlineLevel="1"/>
    <col min="11" max="12" width="21.6640625" style="32" hidden="1" customWidth="1" outlineLevel="1"/>
    <col min="13" max="13" width="20.83203125" style="32" hidden="1" customWidth="1" outlineLevel="1"/>
    <col min="14" max="14" width="20" style="8" bestFit="1" customWidth="1" collapsed="1"/>
    <col min="15" max="15" width="18.6640625" style="32" hidden="1" customWidth="1" outlineLevel="1"/>
    <col min="16" max="16" width="21.6640625" style="32" hidden="1" customWidth="1" outlineLevel="1"/>
    <col min="17" max="17" width="20.5" style="32" hidden="1" customWidth="1" outlineLevel="1"/>
    <col min="18" max="18" width="21.6640625" style="32" hidden="1" customWidth="1" outlineLevel="1"/>
    <col min="19" max="19" width="20" style="8" bestFit="1" customWidth="1" collapsed="1"/>
    <col min="20" max="20" width="18.6640625" style="32" hidden="1" customWidth="1" outlineLevel="1"/>
    <col min="21" max="21" width="20.5" style="32" hidden="1" customWidth="1" outlineLevel="1"/>
    <col min="22" max="22" width="22" style="32" hidden="1" customWidth="1" outlineLevel="1"/>
    <col min="23" max="23" width="21.33203125" style="32" hidden="1" customWidth="1" outlineLevel="1"/>
    <col min="24" max="24" width="20" style="8" bestFit="1" customWidth="1" collapsed="1"/>
    <col min="25" max="25" width="18.6640625" style="32" hidden="1" customWidth="1" outlineLevel="1"/>
    <col min="26" max="26" width="20.83203125" style="32" hidden="1" customWidth="1" outlineLevel="1"/>
    <col min="27" max="27" width="18.6640625" style="32" hidden="1" customWidth="1" outlineLevel="1"/>
    <col min="28" max="28" width="20.5" style="32" hidden="1" customWidth="1" outlineLevel="1"/>
    <col min="29" max="29" width="20" style="8" bestFit="1" customWidth="1" collapsed="1"/>
    <col min="30" max="30" width="18.6640625" style="32" hidden="1" customWidth="1" outlineLevel="1"/>
    <col min="31" max="31" width="20" style="32" hidden="1" customWidth="1" outlineLevel="1"/>
    <col min="32" max="33" width="20.83203125" style="32" hidden="1" customWidth="1" outlineLevel="1"/>
    <col min="34" max="34" width="20" style="8" bestFit="1" customWidth="1" collapsed="1"/>
    <col min="35" max="35" width="18.6640625" style="32" hidden="1" customWidth="1" outlineLevel="1"/>
    <col min="36" max="36" width="20" style="32" hidden="1" customWidth="1" outlineLevel="1"/>
    <col min="37" max="38" width="20.33203125" style="32" hidden="1" customWidth="1" outlineLevel="1"/>
    <col min="39" max="39" width="20.33203125" style="8" bestFit="1" customWidth="1" collapsed="1"/>
    <col min="40" max="40" width="20" style="32" customWidth="1" outlineLevel="1"/>
    <col min="41" max="41" width="9.1640625" style="8"/>
    <col min="42" max="43" width="1.6640625" style="8" customWidth="1"/>
    <col min="44" max="16384" width="9.1640625" style="8"/>
  </cols>
  <sheetData>
    <row r="1" spans="1:43" ht="15.75" customHeight="1">
      <c r="A1" s="7" t="s">
        <v>53</v>
      </c>
      <c r="AQ1" s="7" t="s">
        <v>53</v>
      </c>
    </row>
    <row r="2" spans="1:43" ht="15" customHeight="1">
      <c r="B2" s="57" t="s">
        <v>112</v>
      </c>
    </row>
    <row r="3" spans="1:43" ht="15" customHeight="1">
      <c r="E3" s="33"/>
      <c r="F3" s="33"/>
      <c r="G3" s="33"/>
      <c r="H3" s="33"/>
      <c r="J3" s="33"/>
      <c r="K3" s="33"/>
      <c r="L3" s="33"/>
      <c r="M3" s="33"/>
      <c r="O3" s="33"/>
      <c r="P3" s="33"/>
      <c r="Q3" s="33"/>
      <c r="R3" s="33"/>
      <c r="T3" s="33"/>
      <c r="U3" s="33"/>
      <c r="V3" s="33"/>
      <c r="W3" s="33"/>
      <c r="Y3" s="33"/>
      <c r="Z3" s="33"/>
      <c r="AA3" s="33"/>
      <c r="AB3" s="33"/>
      <c r="AD3" s="33"/>
      <c r="AE3" s="33"/>
      <c r="AF3" s="33"/>
      <c r="AG3" s="33"/>
      <c r="AI3" s="33"/>
      <c r="AJ3" s="33"/>
      <c r="AK3" s="33"/>
      <c r="AL3" s="33"/>
      <c r="AN3" s="33"/>
    </row>
    <row r="4" spans="1:43" ht="21.75">
      <c r="C4" s="6"/>
      <c r="D4" s="58" t="s">
        <v>266</v>
      </c>
      <c r="E4" s="59" t="s">
        <v>113</v>
      </c>
      <c r="F4" s="59" t="s">
        <v>114</v>
      </c>
      <c r="G4" s="59" t="s">
        <v>115</v>
      </c>
      <c r="H4" s="59" t="s">
        <v>116</v>
      </c>
      <c r="I4" s="14">
        <v>2018</v>
      </c>
      <c r="J4" s="59" t="s">
        <v>117</v>
      </c>
      <c r="K4" s="59" t="s">
        <v>118</v>
      </c>
      <c r="L4" s="59" t="s">
        <v>119</v>
      </c>
      <c r="M4" s="59" t="s">
        <v>120</v>
      </c>
      <c r="N4" s="14">
        <v>2019</v>
      </c>
      <c r="O4" s="59" t="s">
        <v>121</v>
      </c>
      <c r="P4" s="59" t="s">
        <v>122</v>
      </c>
      <c r="Q4" s="59" t="s">
        <v>123</v>
      </c>
      <c r="R4" s="59" t="s">
        <v>124</v>
      </c>
      <c r="S4" s="14">
        <v>2020</v>
      </c>
      <c r="T4" s="59" t="s">
        <v>125</v>
      </c>
      <c r="U4" s="59" t="s">
        <v>126</v>
      </c>
      <c r="V4" s="59" t="s">
        <v>127</v>
      </c>
      <c r="W4" s="59" t="s">
        <v>128</v>
      </c>
      <c r="X4" s="14">
        <v>2021</v>
      </c>
      <c r="Y4" s="59" t="s">
        <v>129</v>
      </c>
      <c r="Z4" s="59" t="s">
        <v>130</v>
      </c>
      <c r="AA4" s="59" t="s">
        <v>131</v>
      </c>
      <c r="AB4" s="59" t="s">
        <v>132</v>
      </c>
      <c r="AC4" s="14">
        <v>2022</v>
      </c>
      <c r="AD4" s="59" t="s">
        <v>133</v>
      </c>
      <c r="AE4" s="59" t="s">
        <v>134</v>
      </c>
      <c r="AF4" s="59" t="s">
        <v>135</v>
      </c>
      <c r="AG4" s="59" t="s">
        <v>136</v>
      </c>
      <c r="AH4" s="14">
        <v>2023</v>
      </c>
      <c r="AI4" s="59" t="s">
        <v>137</v>
      </c>
      <c r="AJ4" s="59" t="s">
        <v>138</v>
      </c>
      <c r="AK4" s="59" t="s">
        <v>139</v>
      </c>
      <c r="AL4" s="59" t="s">
        <v>140</v>
      </c>
      <c r="AM4" s="14">
        <v>2024</v>
      </c>
      <c r="AN4" s="59" t="s">
        <v>141</v>
      </c>
    </row>
    <row r="5" spans="1:43" ht="11.25" customHeight="1">
      <c r="C5" s="6"/>
      <c r="D5" s="12"/>
      <c r="E5" s="35"/>
      <c r="F5" s="35"/>
      <c r="G5" s="35"/>
      <c r="H5" s="35"/>
      <c r="I5" s="11"/>
      <c r="J5" s="35"/>
      <c r="K5" s="35"/>
      <c r="L5" s="35"/>
      <c r="M5" s="35"/>
      <c r="N5" s="11"/>
      <c r="O5" s="35"/>
      <c r="P5" s="35"/>
      <c r="Q5" s="35"/>
      <c r="R5" s="35"/>
      <c r="S5" s="11"/>
      <c r="T5" s="35"/>
      <c r="U5" s="35"/>
      <c r="V5" s="35"/>
      <c r="W5" s="35"/>
      <c r="X5" s="11"/>
      <c r="Y5" s="35"/>
      <c r="Z5" s="35"/>
      <c r="AA5" s="35"/>
      <c r="AB5" s="35"/>
      <c r="AC5" s="11"/>
      <c r="AD5" s="35"/>
      <c r="AE5" s="35"/>
      <c r="AF5" s="35"/>
      <c r="AG5" s="35"/>
      <c r="AH5" s="11"/>
      <c r="AI5" s="35"/>
      <c r="AJ5" s="35"/>
      <c r="AK5" s="35"/>
      <c r="AL5" s="35"/>
      <c r="AM5" s="11"/>
      <c r="AN5" s="35"/>
    </row>
    <row r="6" spans="1:43" ht="21.75">
      <c r="C6" s="4"/>
      <c r="D6" s="16" t="s">
        <v>267</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row>
    <row r="7" spans="1:43" ht="21.75">
      <c r="A7" s="126" t="s">
        <v>53</v>
      </c>
      <c r="B7" s="4"/>
      <c r="C7" s="4"/>
      <c r="D7" s="19" t="s">
        <v>268</v>
      </c>
      <c r="E7" s="4"/>
      <c r="F7" s="125"/>
      <c r="G7" s="125"/>
      <c r="H7" s="125">
        <v>506112</v>
      </c>
      <c r="I7" s="125">
        <v>506112</v>
      </c>
      <c r="J7" s="125">
        <v>598305</v>
      </c>
      <c r="K7" s="125">
        <v>1183389</v>
      </c>
      <c r="L7" s="125">
        <v>1825886</v>
      </c>
      <c r="M7" s="125">
        <v>2641065</v>
      </c>
      <c r="N7" s="125">
        <v>2641065</v>
      </c>
      <c r="O7" s="125">
        <v>657210</v>
      </c>
      <c r="P7" s="125">
        <v>1311129</v>
      </c>
      <c r="Q7" s="125">
        <v>1949786</v>
      </c>
      <c r="R7" s="125">
        <v>3094423</v>
      </c>
      <c r="S7" s="125">
        <v>3094423</v>
      </c>
      <c r="T7" s="125">
        <v>675178</v>
      </c>
      <c r="U7" s="125">
        <v>1351005</v>
      </c>
      <c r="V7" s="125">
        <v>2040382</v>
      </c>
      <c r="W7" s="125">
        <v>3832256</v>
      </c>
      <c r="X7" s="125">
        <v>3832256</v>
      </c>
      <c r="Y7" s="125">
        <v>702812</v>
      </c>
      <c r="Z7" s="125">
        <v>1366282</v>
      </c>
      <c r="AA7" s="125">
        <v>2086987</v>
      </c>
      <c r="AB7" s="125">
        <v>4154681</v>
      </c>
      <c r="AC7" s="125">
        <v>4154681</v>
      </c>
      <c r="AD7" s="125">
        <v>699454</v>
      </c>
      <c r="AE7" s="125">
        <v>1384970</v>
      </c>
      <c r="AF7" s="125">
        <v>2109093</v>
      </c>
      <c r="AG7" s="125">
        <v>3818737</v>
      </c>
      <c r="AH7" s="125">
        <v>3818737</v>
      </c>
      <c r="AI7" s="125">
        <v>665651</v>
      </c>
      <c r="AJ7" s="125">
        <v>1418075</v>
      </c>
      <c r="AK7" s="125">
        <v>2123500</v>
      </c>
      <c r="AL7" s="125">
        <v>3607769</v>
      </c>
      <c r="AM7" s="125">
        <v>3607769</v>
      </c>
      <c r="AN7" s="125">
        <v>730868</v>
      </c>
      <c r="AQ7" s="7" t="s">
        <v>53</v>
      </c>
    </row>
    <row r="8" spans="1:43" ht="21.75">
      <c r="A8" s="4"/>
      <c r="B8" s="4"/>
      <c r="C8" s="4"/>
      <c r="D8" s="122" t="s">
        <v>269</v>
      </c>
      <c r="E8" s="4"/>
      <c r="F8" s="4"/>
      <c r="G8" s="4"/>
      <c r="H8" s="4"/>
      <c r="I8" s="4"/>
      <c r="J8" s="125"/>
      <c r="K8" s="125"/>
      <c r="L8" s="125"/>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8"/>
    </row>
    <row r="9" spans="1:43" ht="21.75">
      <c r="A9" s="4"/>
      <c r="B9" s="4"/>
      <c r="C9" s="4"/>
      <c r="D9" s="19" t="s">
        <v>270</v>
      </c>
      <c r="E9" s="4"/>
      <c r="F9" s="125"/>
      <c r="G9" s="125"/>
      <c r="H9" s="125">
        <v>-270051</v>
      </c>
      <c r="I9" s="125">
        <v>-270051</v>
      </c>
      <c r="J9" s="125">
        <v>-156239</v>
      </c>
      <c r="K9" s="125">
        <v>-315547</v>
      </c>
      <c r="L9" s="125">
        <v>-419439</v>
      </c>
      <c r="M9" s="125">
        <v>-494904</v>
      </c>
      <c r="N9" s="125">
        <v>-494904</v>
      </c>
      <c r="O9" s="125">
        <v>-13635</v>
      </c>
      <c r="P9" s="125">
        <v>-24276</v>
      </c>
      <c r="Q9" s="125">
        <v>-38961</v>
      </c>
      <c r="R9" s="125">
        <v>-52179</v>
      </c>
      <c r="S9" s="125">
        <v>-52179</v>
      </c>
      <c r="T9" s="125">
        <v>-15323</v>
      </c>
      <c r="U9" s="125">
        <v>-29129</v>
      </c>
      <c r="V9" s="125">
        <v>-45260</v>
      </c>
      <c r="W9" s="125">
        <v>-65168</v>
      </c>
      <c r="X9" s="125">
        <v>-65168</v>
      </c>
      <c r="Y9" s="125">
        <v>-17953</v>
      </c>
      <c r="Z9" s="125">
        <v>-69572</v>
      </c>
      <c r="AA9" s="125">
        <v>-89082</v>
      </c>
      <c r="AB9" s="125">
        <v>-114645</v>
      </c>
      <c r="AC9" s="125">
        <v>-114645</v>
      </c>
      <c r="AD9" s="125">
        <v>-36458</v>
      </c>
      <c r="AE9" s="125">
        <v>-74869</v>
      </c>
      <c r="AF9" s="125">
        <v>-114580</v>
      </c>
      <c r="AG9" s="125">
        <v>-211613</v>
      </c>
      <c r="AH9" s="125">
        <v>-211613</v>
      </c>
      <c r="AI9" s="125">
        <v>-93920</v>
      </c>
      <c r="AJ9" s="125">
        <v>-184705</v>
      </c>
      <c r="AK9" s="125">
        <v>-251213</v>
      </c>
      <c r="AL9" s="125">
        <v>-305852</v>
      </c>
      <c r="AM9" s="125">
        <v>-305852</v>
      </c>
      <c r="AN9" s="125">
        <v>-49023</v>
      </c>
    </row>
    <row r="10" spans="1:43" ht="21.75">
      <c r="A10" s="4"/>
      <c r="B10" s="4"/>
      <c r="C10" s="4"/>
      <c r="D10" s="19" t="s">
        <v>45</v>
      </c>
      <c r="E10" s="4"/>
      <c r="F10" s="125"/>
      <c r="G10" s="125"/>
      <c r="H10" s="125">
        <v>0</v>
      </c>
      <c r="I10" s="125">
        <v>0</v>
      </c>
      <c r="J10" s="125">
        <v>834</v>
      </c>
      <c r="K10" s="125">
        <v>1668</v>
      </c>
      <c r="L10" s="125">
        <v>2502</v>
      </c>
      <c r="M10" s="125">
        <v>3919</v>
      </c>
      <c r="N10" s="125">
        <v>3919</v>
      </c>
      <c r="O10" s="125">
        <v>965</v>
      </c>
      <c r="P10" s="125">
        <v>1930</v>
      </c>
      <c r="Q10" s="125">
        <v>2895</v>
      </c>
      <c r="R10" s="125">
        <v>3860</v>
      </c>
      <c r="S10" s="125">
        <v>3860</v>
      </c>
      <c r="T10" s="125">
        <v>944</v>
      </c>
      <c r="U10" s="125">
        <v>1888</v>
      </c>
      <c r="V10" s="125">
        <v>2832</v>
      </c>
      <c r="W10" s="125">
        <v>3778</v>
      </c>
      <c r="X10" s="125">
        <v>3778</v>
      </c>
      <c r="Y10" s="125">
        <v>864</v>
      </c>
      <c r="Z10" s="125">
        <v>71558</v>
      </c>
      <c r="AA10" s="125">
        <v>229307</v>
      </c>
      <c r="AB10" s="125">
        <v>404385</v>
      </c>
      <c r="AC10" s="125">
        <v>404385</v>
      </c>
      <c r="AD10" s="125">
        <v>196417</v>
      </c>
      <c r="AE10" s="125">
        <v>406288</v>
      </c>
      <c r="AF10" s="125">
        <v>600400</v>
      </c>
      <c r="AG10" s="125">
        <v>850735</v>
      </c>
      <c r="AH10" s="125">
        <v>850735</v>
      </c>
      <c r="AI10" s="125">
        <v>170689</v>
      </c>
      <c r="AJ10" s="125">
        <v>338639</v>
      </c>
      <c r="AK10" s="125">
        <v>510947</v>
      </c>
      <c r="AL10" s="125">
        <v>681787</v>
      </c>
      <c r="AM10" s="125">
        <v>681787</v>
      </c>
      <c r="AN10" s="125">
        <v>164285</v>
      </c>
    </row>
    <row r="11" spans="1:43" ht="21.75">
      <c r="A11" s="4"/>
      <c r="B11" s="4"/>
      <c r="C11" s="4"/>
      <c r="D11" s="19" t="s">
        <v>46</v>
      </c>
      <c r="E11" s="4"/>
      <c r="F11" s="125"/>
      <c r="G11" s="125"/>
      <c r="H11" s="125">
        <v>0</v>
      </c>
      <c r="I11" s="125">
        <v>0</v>
      </c>
      <c r="J11" s="125">
        <v>0</v>
      </c>
      <c r="K11" s="125">
        <v>0</v>
      </c>
      <c r="L11" s="125">
        <v>0</v>
      </c>
      <c r="M11" s="125">
        <v>0</v>
      </c>
      <c r="N11" s="125">
        <v>0</v>
      </c>
      <c r="O11" s="125">
        <v>0</v>
      </c>
      <c r="P11" s="125">
        <v>0</v>
      </c>
      <c r="Q11" s="125">
        <v>0</v>
      </c>
      <c r="R11" s="125">
        <v>0</v>
      </c>
      <c r="S11" s="125">
        <v>0</v>
      </c>
      <c r="T11" s="125">
        <v>0</v>
      </c>
      <c r="U11" s="125">
        <v>0</v>
      </c>
      <c r="V11" s="125">
        <v>0</v>
      </c>
      <c r="W11" s="125">
        <v>0</v>
      </c>
      <c r="X11" s="125">
        <v>0</v>
      </c>
      <c r="Y11" s="125">
        <v>0</v>
      </c>
      <c r="Z11" s="125">
        <v>7427</v>
      </c>
      <c r="AA11" s="125">
        <v>23631</v>
      </c>
      <c r="AB11" s="125">
        <v>39160</v>
      </c>
      <c r="AC11" s="125">
        <v>39160</v>
      </c>
      <c r="AD11" s="125">
        <v>15565</v>
      </c>
      <c r="AE11" s="125">
        <v>30833</v>
      </c>
      <c r="AF11" s="125">
        <v>47560</v>
      </c>
      <c r="AG11" s="125">
        <v>81455</v>
      </c>
      <c r="AH11" s="125">
        <v>81455</v>
      </c>
      <c r="AI11" s="125">
        <v>2846</v>
      </c>
      <c r="AJ11" s="125">
        <v>5273</v>
      </c>
      <c r="AK11" s="125">
        <v>8315</v>
      </c>
      <c r="AL11" s="125">
        <v>10658</v>
      </c>
      <c r="AM11" s="125">
        <v>10658</v>
      </c>
      <c r="AN11" s="125">
        <v>2245</v>
      </c>
    </row>
    <row r="12" spans="1:43" ht="21.75">
      <c r="A12" s="4"/>
      <c r="B12" s="4"/>
      <c r="C12" s="4"/>
      <c r="D12" s="19" t="s">
        <v>271</v>
      </c>
      <c r="E12" s="4"/>
      <c r="F12" s="125"/>
      <c r="G12" s="125"/>
      <c r="H12" s="125">
        <v>0</v>
      </c>
      <c r="I12" s="125">
        <v>0</v>
      </c>
      <c r="J12" s="125">
        <v>2374</v>
      </c>
      <c r="K12" s="125">
        <v>2674</v>
      </c>
      <c r="L12" s="125">
        <v>3154</v>
      </c>
      <c r="M12" s="125">
        <v>3483</v>
      </c>
      <c r="N12" s="125">
        <v>3483</v>
      </c>
      <c r="O12" s="125">
        <v>328</v>
      </c>
      <c r="P12" s="125">
        <v>1473</v>
      </c>
      <c r="Q12" s="125">
        <v>1772</v>
      </c>
      <c r="R12" s="125">
        <v>2071</v>
      </c>
      <c r="S12" s="125">
        <v>2071</v>
      </c>
      <c r="T12" s="125">
        <v>1212</v>
      </c>
      <c r="U12" s="125">
        <v>1520</v>
      </c>
      <c r="V12" s="125">
        <v>1828</v>
      </c>
      <c r="W12" s="125">
        <v>2136</v>
      </c>
      <c r="X12" s="125">
        <v>2136</v>
      </c>
      <c r="Y12" s="125">
        <v>1312</v>
      </c>
      <c r="Z12" s="125">
        <v>1643</v>
      </c>
      <c r="AA12" s="125">
        <v>1952</v>
      </c>
      <c r="AB12" s="125">
        <v>2282</v>
      </c>
      <c r="AC12" s="125">
        <v>2282</v>
      </c>
      <c r="AD12" s="125">
        <v>1479</v>
      </c>
      <c r="AE12" s="125">
        <v>1835</v>
      </c>
      <c r="AF12" s="125">
        <v>2673</v>
      </c>
      <c r="AG12" s="125">
        <v>3185</v>
      </c>
      <c r="AH12" s="125">
        <v>3185</v>
      </c>
      <c r="AI12" s="125">
        <v>2946</v>
      </c>
      <c r="AJ12" s="125">
        <v>3462</v>
      </c>
      <c r="AK12" s="125">
        <v>3997</v>
      </c>
      <c r="AL12" s="125">
        <v>4558</v>
      </c>
      <c r="AM12" s="125">
        <v>4558</v>
      </c>
      <c r="AN12" s="125">
        <v>634</v>
      </c>
    </row>
    <row r="13" spans="1:43" ht="21.75">
      <c r="A13" s="4"/>
      <c r="B13" s="4"/>
      <c r="C13" s="4"/>
      <c r="D13" s="19" t="s">
        <v>272</v>
      </c>
      <c r="E13" s="106"/>
      <c r="F13" s="125"/>
      <c r="G13" s="125"/>
      <c r="H13" s="125">
        <v>7</v>
      </c>
      <c r="I13" s="125">
        <v>7</v>
      </c>
      <c r="J13" s="125">
        <v>605</v>
      </c>
      <c r="K13" s="125">
        <v>1218</v>
      </c>
      <c r="L13" s="125">
        <v>1835</v>
      </c>
      <c r="M13" s="125">
        <v>2878</v>
      </c>
      <c r="N13" s="125">
        <v>2878</v>
      </c>
      <c r="O13" s="125">
        <v>732</v>
      </c>
      <c r="P13" s="125">
        <v>1467</v>
      </c>
      <c r="Q13" s="125">
        <v>2203</v>
      </c>
      <c r="R13" s="125">
        <v>2937</v>
      </c>
      <c r="S13" s="125">
        <v>2937</v>
      </c>
      <c r="T13" s="125">
        <v>737</v>
      </c>
      <c r="U13" s="125">
        <v>1475</v>
      </c>
      <c r="V13" s="125">
        <v>2213</v>
      </c>
      <c r="W13" s="125">
        <v>2946</v>
      </c>
      <c r="X13" s="125">
        <v>2946</v>
      </c>
      <c r="Y13" s="125">
        <v>672</v>
      </c>
      <c r="Z13" s="125">
        <v>1345</v>
      </c>
      <c r="AA13" s="125">
        <v>2020</v>
      </c>
      <c r="AB13" s="125">
        <v>2689</v>
      </c>
      <c r="AC13" s="125">
        <v>2689</v>
      </c>
      <c r="AD13" s="125">
        <v>726</v>
      </c>
      <c r="AE13" s="125">
        <v>1488</v>
      </c>
      <c r="AF13" s="125">
        <v>2246</v>
      </c>
      <c r="AG13" s="125">
        <v>3798</v>
      </c>
      <c r="AH13" s="125">
        <v>3798</v>
      </c>
      <c r="AI13" s="125">
        <v>778</v>
      </c>
      <c r="AJ13" s="125">
        <v>1558</v>
      </c>
      <c r="AK13" s="125">
        <v>2347</v>
      </c>
      <c r="AL13" s="125">
        <v>3203</v>
      </c>
      <c r="AM13" s="125">
        <v>3203</v>
      </c>
      <c r="AN13" s="125">
        <v>827</v>
      </c>
    </row>
    <row r="14" spans="1:43" ht="21.75">
      <c r="A14" s="4"/>
      <c r="B14" s="4"/>
      <c r="C14" s="4"/>
      <c r="D14" s="19" t="s">
        <v>146</v>
      </c>
      <c r="E14" s="99"/>
      <c r="F14" s="125"/>
      <c r="G14" s="125"/>
      <c r="H14" s="125">
        <v>0</v>
      </c>
      <c r="I14" s="125">
        <v>0</v>
      </c>
      <c r="J14" s="125">
        <v>0</v>
      </c>
      <c r="K14" s="125">
        <v>0</v>
      </c>
      <c r="L14" s="125">
        <v>0</v>
      </c>
      <c r="M14" s="125">
        <v>0</v>
      </c>
      <c r="N14" s="125">
        <v>0</v>
      </c>
      <c r="O14" s="125">
        <v>0</v>
      </c>
      <c r="P14" s="125">
        <v>0</v>
      </c>
      <c r="Q14" s="125">
        <v>0</v>
      </c>
      <c r="R14" s="125">
        <v>0</v>
      </c>
      <c r="S14" s="125">
        <v>0</v>
      </c>
      <c r="T14" s="125">
        <v>0</v>
      </c>
      <c r="U14" s="125">
        <v>0</v>
      </c>
      <c r="V14" s="125">
        <v>0</v>
      </c>
      <c r="W14" s="125">
        <v>0</v>
      </c>
      <c r="X14" s="125">
        <v>0</v>
      </c>
      <c r="Y14" s="125">
        <v>0</v>
      </c>
      <c r="Z14" s="125">
        <v>0</v>
      </c>
      <c r="AA14" s="125">
        <v>0</v>
      </c>
      <c r="AB14" s="125">
        <v>0</v>
      </c>
      <c r="AC14" s="125">
        <v>0</v>
      </c>
      <c r="AD14" s="125">
        <v>0</v>
      </c>
      <c r="AE14" s="125">
        <v>0</v>
      </c>
      <c r="AF14" s="125">
        <v>10028</v>
      </c>
      <c r="AG14" s="125">
        <v>46181</v>
      </c>
      <c r="AH14" s="125">
        <v>46181</v>
      </c>
      <c r="AI14" s="125">
        <v>87864</v>
      </c>
      <c r="AJ14" s="125">
        <v>95358</v>
      </c>
      <c r="AK14" s="125">
        <v>172772</v>
      </c>
      <c r="AL14" s="125">
        <v>233760</v>
      </c>
      <c r="AM14" s="125">
        <v>233760</v>
      </c>
      <c r="AN14" s="125">
        <v>52714</v>
      </c>
    </row>
    <row r="15" spans="1:43" ht="21.75">
      <c r="A15" s="4"/>
      <c r="B15" s="4"/>
      <c r="C15" s="4"/>
      <c r="D15" s="19" t="s">
        <v>273</v>
      </c>
      <c r="E15" s="99"/>
      <c r="F15" s="125"/>
      <c r="G15" s="125"/>
      <c r="H15" s="125">
        <v>679536</v>
      </c>
      <c r="I15" s="125">
        <v>679536</v>
      </c>
      <c r="J15" s="125">
        <v>0</v>
      </c>
      <c r="K15" s="125">
        <v>0</v>
      </c>
      <c r="L15" s="125">
        <v>0</v>
      </c>
      <c r="M15" s="125">
        <v>-158595</v>
      </c>
      <c r="N15" s="125">
        <v>-158595</v>
      </c>
      <c r="O15" s="125">
        <v>0</v>
      </c>
      <c r="P15" s="125">
        <v>0</v>
      </c>
      <c r="Q15" s="125">
        <v>0</v>
      </c>
      <c r="R15" s="125">
        <v>-473856</v>
      </c>
      <c r="S15" s="125">
        <v>-473856</v>
      </c>
      <c r="T15" s="125">
        <v>0</v>
      </c>
      <c r="U15" s="125">
        <v>0</v>
      </c>
      <c r="V15" s="125">
        <v>0</v>
      </c>
      <c r="W15" s="125">
        <v>-1105419</v>
      </c>
      <c r="X15" s="125">
        <v>-1105419</v>
      </c>
      <c r="Y15" s="125">
        <v>0</v>
      </c>
      <c r="Z15" s="125">
        <v>0</v>
      </c>
      <c r="AA15" s="125">
        <v>0</v>
      </c>
      <c r="AB15" s="125">
        <v>-1371025</v>
      </c>
      <c r="AC15" s="125">
        <v>-1371025</v>
      </c>
      <c r="AD15" s="125">
        <v>0</v>
      </c>
      <c r="AE15" s="125">
        <v>0</v>
      </c>
      <c r="AF15" s="125">
        <v>0</v>
      </c>
      <c r="AG15" s="125">
        <v>-1078666</v>
      </c>
      <c r="AH15" s="125">
        <v>-1078666</v>
      </c>
      <c r="AI15" s="125">
        <v>0</v>
      </c>
      <c r="AJ15" s="125">
        <v>0</v>
      </c>
      <c r="AK15" s="125">
        <v>0</v>
      </c>
      <c r="AL15" s="125">
        <v>-776753</v>
      </c>
      <c r="AM15" s="125">
        <v>-776753</v>
      </c>
      <c r="AN15" s="125">
        <v>0</v>
      </c>
    </row>
    <row r="16" spans="1:43" ht="21.75">
      <c r="A16" s="4"/>
      <c r="B16" s="4"/>
      <c r="C16" s="4"/>
      <c r="D16" s="24"/>
      <c r="E16" s="24"/>
      <c r="F16" s="24"/>
      <c r="G16" s="24"/>
      <c r="H16" s="24">
        <v>409492</v>
      </c>
      <c r="I16" s="24">
        <v>409492</v>
      </c>
      <c r="J16" s="24">
        <v>-152426</v>
      </c>
      <c r="K16" s="24">
        <v>-309987</v>
      </c>
      <c r="L16" s="24">
        <v>-411948</v>
      </c>
      <c r="M16" s="24">
        <v>-643219</v>
      </c>
      <c r="N16" s="24">
        <v>-643219</v>
      </c>
      <c r="O16" s="24">
        <v>-11610</v>
      </c>
      <c r="P16" s="24">
        <v>-19406</v>
      </c>
      <c r="Q16" s="24">
        <v>-32091</v>
      </c>
      <c r="R16" s="24">
        <v>-517167</v>
      </c>
      <c r="S16" s="24">
        <v>-517167</v>
      </c>
      <c r="T16" s="24">
        <v>-12430</v>
      </c>
      <c r="U16" s="24">
        <v>-24246</v>
      </c>
      <c r="V16" s="24">
        <v>-38387</v>
      </c>
      <c r="W16" s="24">
        <v>-1161727</v>
      </c>
      <c r="X16" s="24">
        <v>-1161727</v>
      </c>
      <c r="Y16" s="24">
        <v>-15105</v>
      </c>
      <c r="Z16" s="24">
        <v>12401</v>
      </c>
      <c r="AA16" s="24">
        <v>167828</v>
      </c>
      <c r="AB16" s="24">
        <v>-1037154</v>
      </c>
      <c r="AC16" s="24">
        <v>-1037154</v>
      </c>
      <c r="AD16" s="24">
        <v>177729</v>
      </c>
      <c r="AE16" s="24">
        <v>365575</v>
      </c>
      <c r="AF16" s="24">
        <v>548327</v>
      </c>
      <c r="AG16" s="24">
        <v>-304925</v>
      </c>
      <c r="AH16" s="24">
        <v>-304925</v>
      </c>
      <c r="AI16" s="24">
        <v>171203</v>
      </c>
      <c r="AJ16" s="24">
        <v>259585</v>
      </c>
      <c r="AK16" s="24">
        <v>447165</v>
      </c>
      <c r="AL16" s="24">
        <v>-148639</v>
      </c>
      <c r="AM16" s="24">
        <v>-148639</v>
      </c>
      <c r="AN16" s="24">
        <v>171682</v>
      </c>
    </row>
    <row r="17" spans="3:40">
      <c r="D17" s="122" t="s">
        <v>274</v>
      </c>
      <c r="F17" s="8"/>
      <c r="G17" s="8"/>
      <c r="H17" s="8"/>
      <c r="J17" s="8"/>
      <c r="K17" s="8"/>
      <c r="L17" s="8"/>
      <c r="M17" s="8"/>
      <c r="O17" s="8"/>
      <c r="P17" s="8"/>
      <c r="Q17" s="8"/>
      <c r="R17" s="8"/>
      <c r="T17" s="8"/>
      <c r="U17" s="8"/>
      <c r="V17" s="8"/>
      <c r="W17" s="8"/>
      <c r="Y17" s="8"/>
      <c r="Z17" s="8"/>
      <c r="AA17" s="8"/>
      <c r="AB17" s="8"/>
      <c r="AD17" s="8"/>
      <c r="AE17" s="8"/>
      <c r="AF17" s="8"/>
      <c r="AG17" s="8"/>
      <c r="AI17" s="8"/>
      <c r="AJ17" s="8"/>
      <c r="AK17" s="8"/>
      <c r="AL17" s="8"/>
    </row>
    <row r="18" spans="3:40">
      <c r="D18" s="19" t="s">
        <v>275</v>
      </c>
      <c r="F18" s="125"/>
      <c r="G18" s="125"/>
      <c r="H18" s="125">
        <v>-12902</v>
      </c>
      <c r="I18" s="125">
        <v>-12902</v>
      </c>
      <c r="J18" s="125">
        <v>12902</v>
      </c>
      <c r="K18" s="125">
        <v>1742</v>
      </c>
      <c r="L18" s="125">
        <v>12902</v>
      </c>
      <c r="M18" s="125">
        <v>11899</v>
      </c>
      <c r="N18" s="125">
        <v>11899</v>
      </c>
      <c r="O18" s="125">
        <v>0</v>
      </c>
      <c r="P18" s="125">
        <v>1003</v>
      </c>
      <c r="Q18" s="125">
        <v>1003</v>
      </c>
      <c r="R18" s="125">
        <v>373</v>
      </c>
      <c r="S18" s="125">
        <v>373</v>
      </c>
      <c r="T18" s="125">
        <v>630</v>
      </c>
      <c r="U18" s="125">
        <v>630</v>
      </c>
      <c r="V18" s="125">
        <v>630</v>
      </c>
      <c r="W18" s="125">
        <v>-909</v>
      </c>
      <c r="X18" s="125">
        <v>-909</v>
      </c>
      <c r="Y18" s="125">
        <v>1539</v>
      </c>
      <c r="Z18" s="125">
        <v>1539</v>
      </c>
      <c r="AA18" s="125">
        <v>1539</v>
      </c>
      <c r="AB18" s="125">
        <v>-1980</v>
      </c>
      <c r="AC18" s="125">
        <v>-1980</v>
      </c>
      <c r="AD18" s="125">
        <v>3519</v>
      </c>
      <c r="AE18" s="125">
        <v>3519</v>
      </c>
      <c r="AF18" s="125">
        <v>3519</v>
      </c>
      <c r="AG18" s="125">
        <v>2406</v>
      </c>
      <c r="AH18" s="125">
        <v>2406</v>
      </c>
      <c r="AI18" s="125">
        <v>1113</v>
      </c>
      <c r="AJ18" s="125">
        <v>1113</v>
      </c>
      <c r="AK18" s="125">
        <v>1113</v>
      </c>
      <c r="AL18" s="125">
        <v>-1128</v>
      </c>
      <c r="AM18" s="125">
        <v>-1128</v>
      </c>
      <c r="AN18" s="125">
        <v>2241</v>
      </c>
    </row>
    <row r="19" spans="3:40">
      <c r="D19" s="19" t="s">
        <v>8</v>
      </c>
      <c r="F19" s="125"/>
      <c r="G19" s="125"/>
      <c r="H19" s="125">
        <v>-2906</v>
      </c>
      <c r="I19" s="125">
        <v>-2906</v>
      </c>
      <c r="J19" s="125">
        <v>-3303</v>
      </c>
      <c r="K19" s="125">
        <v>-719</v>
      </c>
      <c r="L19" s="125">
        <v>-623</v>
      </c>
      <c r="M19" s="125">
        <v>1583</v>
      </c>
      <c r="N19" s="125">
        <v>1583</v>
      </c>
      <c r="O19" s="125">
        <v>-4996</v>
      </c>
      <c r="P19" s="125">
        <v>-2633</v>
      </c>
      <c r="Q19" s="125">
        <v>-3291</v>
      </c>
      <c r="R19" s="125">
        <v>-6949</v>
      </c>
      <c r="S19" s="125">
        <v>-6949</v>
      </c>
      <c r="T19" s="125">
        <v>-890</v>
      </c>
      <c r="U19" s="125">
        <v>4332</v>
      </c>
      <c r="V19" s="125">
        <v>1757</v>
      </c>
      <c r="W19" s="125">
        <v>-631</v>
      </c>
      <c r="X19" s="125">
        <v>-631</v>
      </c>
      <c r="Y19" s="125">
        <v>-2511</v>
      </c>
      <c r="Z19" s="125">
        <v>3015</v>
      </c>
      <c r="AA19" s="125">
        <v>-8206</v>
      </c>
      <c r="AB19" s="125">
        <v>-1403</v>
      </c>
      <c r="AC19" s="125">
        <v>-1403</v>
      </c>
      <c r="AD19" s="125">
        <v>-4326</v>
      </c>
      <c r="AE19" s="125">
        <v>1624</v>
      </c>
      <c r="AF19" s="125">
        <v>-12049</v>
      </c>
      <c r="AG19" s="125">
        <v>-1202</v>
      </c>
      <c r="AH19" s="125">
        <v>-1202</v>
      </c>
      <c r="AI19" s="125">
        <v>-9450</v>
      </c>
      <c r="AJ19" s="125">
        <v>-1321</v>
      </c>
      <c r="AK19" s="125">
        <v>-16847</v>
      </c>
      <c r="AL19" s="125">
        <v>-5994</v>
      </c>
      <c r="AM19" s="125">
        <v>-5994</v>
      </c>
      <c r="AN19" s="125">
        <v>-6640</v>
      </c>
    </row>
    <row r="20" spans="3:40">
      <c r="D20" s="19" t="s">
        <v>276</v>
      </c>
      <c r="F20" s="125"/>
      <c r="G20" s="125"/>
      <c r="H20" s="125">
        <v>-1887674</v>
      </c>
      <c r="I20" s="125">
        <v>-1887674</v>
      </c>
      <c r="J20" s="125">
        <v>1229026</v>
      </c>
      <c r="K20" s="125">
        <v>981285</v>
      </c>
      <c r="L20" s="125">
        <v>1061831</v>
      </c>
      <c r="M20" s="125">
        <v>740556</v>
      </c>
      <c r="N20" s="125">
        <v>740556</v>
      </c>
      <c r="O20" s="125">
        <v>103141</v>
      </c>
      <c r="P20" s="125">
        <v>207275</v>
      </c>
      <c r="Q20" s="125">
        <v>586723</v>
      </c>
      <c r="R20" s="125">
        <v>688687</v>
      </c>
      <c r="S20" s="125">
        <v>688687</v>
      </c>
      <c r="T20" s="125">
        <v>98371</v>
      </c>
      <c r="U20" s="125">
        <v>205538</v>
      </c>
      <c r="V20" s="125">
        <v>316186</v>
      </c>
      <c r="W20" s="125">
        <v>413841</v>
      </c>
      <c r="X20" s="125">
        <v>413841</v>
      </c>
      <c r="Y20" s="125">
        <v>40084</v>
      </c>
      <c r="Z20" s="125">
        <v>-463823</v>
      </c>
      <c r="AA20" s="125">
        <v>-345898</v>
      </c>
      <c r="AB20" s="125">
        <v>-209689</v>
      </c>
      <c r="AC20" s="125">
        <v>-209689</v>
      </c>
      <c r="AD20" s="125">
        <v>143077</v>
      </c>
      <c r="AE20" s="125">
        <v>274332</v>
      </c>
      <c r="AF20" s="125">
        <v>296906</v>
      </c>
      <c r="AG20" s="125">
        <v>282998</v>
      </c>
      <c r="AH20" s="125">
        <v>282998</v>
      </c>
      <c r="AI20" s="125">
        <v>11544</v>
      </c>
      <c r="AJ20" s="125">
        <v>7010</v>
      </c>
      <c r="AK20" s="125">
        <v>1189</v>
      </c>
      <c r="AL20" s="125">
        <v>3544</v>
      </c>
      <c r="AM20" s="125">
        <v>3544</v>
      </c>
      <c r="AN20" s="125">
        <v>54055</v>
      </c>
    </row>
    <row r="21" spans="3:40">
      <c r="D21" s="122" t="s">
        <v>277</v>
      </c>
      <c r="F21" s="125"/>
      <c r="G21" s="125"/>
      <c r="H21" s="125"/>
      <c r="I21" s="125"/>
      <c r="J21" s="125"/>
      <c r="K21" s="125"/>
      <c r="L21" s="125"/>
      <c r="M21" s="125"/>
      <c r="N21" s="125"/>
      <c r="O21" s="125"/>
      <c r="P21" s="125"/>
      <c r="Q21" s="125"/>
      <c r="R21" s="125"/>
      <c r="S21" s="125"/>
      <c r="T21" s="125"/>
      <c r="U21" s="125"/>
      <c r="V21" s="125"/>
      <c r="W21" s="125"/>
      <c r="X21" s="125"/>
      <c r="Y21" s="125"/>
      <c r="Z21" s="125"/>
      <c r="AA21" s="125"/>
      <c r="AB21" s="8"/>
      <c r="AD21" s="125"/>
      <c r="AE21" s="125"/>
      <c r="AF21" s="125"/>
      <c r="AG21" s="8"/>
      <c r="AI21" s="125"/>
      <c r="AJ21" s="125"/>
      <c r="AK21" s="125"/>
      <c r="AL21" s="125"/>
      <c r="AM21" s="125"/>
      <c r="AN21" s="125"/>
    </row>
    <row r="22" spans="3:40">
      <c r="D22" s="19" t="s">
        <v>278</v>
      </c>
      <c r="F22" s="125"/>
      <c r="G22" s="125"/>
      <c r="H22" s="125">
        <v>3262</v>
      </c>
      <c r="I22" s="125">
        <v>3262</v>
      </c>
      <c r="J22" s="125">
        <v>-453</v>
      </c>
      <c r="K22" s="125">
        <v>43032</v>
      </c>
      <c r="L22" s="125">
        <v>3503</v>
      </c>
      <c r="M22" s="125">
        <v>2859</v>
      </c>
      <c r="N22" s="125">
        <v>2859</v>
      </c>
      <c r="O22" s="125">
        <v>1003</v>
      </c>
      <c r="P22" s="125">
        <v>3912</v>
      </c>
      <c r="Q22" s="125">
        <v>-1046</v>
      </c>
      <c r="R22" s="125">
        <v>422</v>
      </c>
      <c r="S22" s="125">
        <v>422</v>
      </c>
      <c r="T22" s="125">
        <v>-2241</v>
      </c>
      <c r="U22" s="125">
        <v>-643</v>
      </c>
      <c r="V22" s="125">
        <v>-362</v>
      </c>
      <c r="W22" s="125">
        <v>-1463</v>
      </c>
      <c r="X22" s="125">
        <v>-1463</v>
      </c>
      <c r="Y22" s="125">
        <v>-2219</v>
      </c>
      <c r="Z22" s="125">
        <v>4677</v>
      </c>
      <c r="AA22" s="125">
        <v>5843</v>
      </c>
      <c r="AB22" s="125">
        <v>2554</v>
      </c>
      <c r="AC22" s="125">
        <v>2554</v>
      </c>
      <c r="AD22" s="125">
        <v>-9728</v>
      </c>
      <c r="AE22" s="125">
        <v>-1852</v>
      </c>
      <c r="AF22" s="125">
        <v>-821</v>
      </c>
      <c r="AG22" s="125">
        <v>6865</v>
      </c>
      <c r="AH22" s="125">
        <v>6865</v>
      </c>
      <c r="AI22" s="125">
        <v>-4045</v>
      </c>
      <c r="AJ22" s="125">
        <v>-3977</v>
      </c>
      <c r="AK22" s="125">
        <v>10887</v>
      </c>
      <c r="AL22" s="125">
        <v>252</v>
      </c>
      <c r="AM22" s="125">
        <v>252</v>
      </c>
      <c r="AN22" s="125">
        <v>-3901</v>
      </c>
    </row>
    <row r="23" spans="3:40">
      <c r="D23" s="19" t="s">
        <v>279</v>
      </c>
      <c r="F23" s="125"/>
      <c r="G23" s="125"/>
      <c r="H23" s="125">
        <v>0</v>
      </c>
      <c r="I23" s="125">
        <v>0</v>
      </c>
      <c r="J23" s="125">
        <v>23765</v>
      </c>
      <c r="K23" s="125">
        <v>18287</v>
      </c>
      <c r="L23" s="125">
        <v>5645</v>
      </c>
      <c r="M23" s="125">
        <v>20986</v>
      </c>
      <c r="N23" s="125">
        <v>20986</v>
      </c>
      <c r="O23" s="125">
        <v>3443</v>
      </c>
      <c r="P23" s="125">
        <v>4194</v>
      </c>
      <c r="Q23" s="125">
        <v>23769</v>
      </c>
      <c r="R23" s="125">
        <v>-5038</v>
      </c>
      <c r="S23" s="125">
        <v>-5038</v>
      </c>
      <c r="T23" s="125">
        <v>10345</v>
      </c>
      <c r="U23" s="125">
        <v>11297</v>
      </c>
      <c r="V23" s="125">
        <v>33119</v>
      </c>
      <c r="W23" s="125">
        <v>20514</v>
      </c>
      <c r="X23" s="125">
        <v>20514</v>
      </c>
      <c r="Y23" s="125">
        <v>-25712</v>
      </c>
      <c r="Z23" s="125">
        <v>-14962</v>
      </c>
      <c r="AA23" s="125">
        <v>-4212</v>
      </c>
      <c r="AB23" s="125">
        <v>-36462</v>
      </c>
      <c r="AC23" s="125">
        <v>-36462</v>
      </c>
      <c r="AD23" s="125">
        <v>-25712</v>
      </c>
      <c r="AE23" s="125">
        <v>23140</v>
      </c>
      <c r="AF23" s="125">
        <v>35070</v>
      </c>
      <c r="AG23" s="125">
        <v>0</v>
      </c>
      <c r="AH23" s="125">
        <v>0</v>
      </c>
      <c r="AI23" s="125">
        <v>13750</v>
      </c>
      <c r="AJ23" s="125">
        <v>62309</v>
      </c>
      <c r="AK23" s="125">
        <v>41250</v>
      </c>
      <c r="AL23" s="125">
        <v>0</v>
      </c>
      <c r="AM23" s="125">
        <v>0</v>
      </c>
      <c r="AN23" s="125">
        <v>14250</v>
      </c>
    </row>
    <row r="24" spans="3:40">
      <c r="D24" s="19" t="s">
        <v>27</v>
      </c>
      <c r="F24" s="125"/>
      <c r="G24" s="125"/>
      <c r="H24" s="125">
        <v>0</v>
      </c>
      <c r="I24" s="125">
        <v>0</v>
      </c>
      <c r="J24" s="125">
        <v>0</v>
      </c>
      <c r="K24" s="125">
        <v>0</v>
      </c>
      <c r="L24" s="125">
        <v>479</v>
      </c>
      <c r="M24" s="125">
        <v>33</v>
      </c>
      <c r="N24" s="125">
        <v>33</v>
      </c>
      <c r="O24" s="125">
        <v>11</v>
      </c>
      <c r="P24" s="125">
        <v>22</v>
      </c>
      <c r="Q24" s="125">
        <v>33</v>
      </c>
      <c r="R24" s="125">
        <v>42</v>
      </c>
      <c r="S24" s="125">
        <v>42</v>
      </c>
      <c r="T24" s="125">
        <v>14</v>
      </c>
      <c r="U24" s="125">
        <v>28</v>
      </c>
      <c r="V24" s="125">
        <v>42</v>
      </c>
      <c r="W24" s="125">
        <v>56</v>
      </c>
      <c r="X24" s="125">
        <v>56</v>
      </c>
      <c r="Y24" s="125">
        <v>20</v>
      </c>
      <c r="Z24" s="125">
        <v>41</v>
      </c>
      <c r="AA24" s="125">
        <v>61</v>
      </c>
      <c r="AB24" s="125">
        <v>78</v>
      </c>
      <c r="AC24" s="125">
        <v>78</v>
      </c>
      <c r="AD24" s="125">
        <v>23</v>
      </c>
      <c r="AE24" s="125">
        <v>45</v>
      </c>
      <c r="AF24" s="125">
        <v>71</v>
      </c>
      <c r="AG24" s="125">
        <v>64</v>
      </c>
      <c r="AH24" s="125">
        <v>64</v>
      </c>
      <c r="AI24" s="125">
        <v>32</v>
      </c>
      <c r="AJ24" s="125">
        <v>-39</v>
      </c>
      <c r="AK24" s="125">
        <v>67</v>
      </c>
      <c r="AL24" s="125">
        <v>98</v>
      </c>
      <c r="AM24" s="125">
        <v>98</v>
      </c>
      <c r="AN24" s="125">
        <v>23</v>
      </c>
    </row>
    <row r="25" spans="3:40" ht="21.75">
      <c r="C25" s="4"/>
      <c r="D25" s="15" t="s">
        <v>280</v>
      </c>
      <c r="E25" s="24"/>
      <c r="F25" s="24"/>
      <c r="G25" s="24"/>
      <c r="H25" s="24">
        <v>-984616</v>
      </c>
      <c r="I25" s="24">
        <v>-984616</v>
      </c>
      <c r="J25" s="24">
        <v>1707816</v>
      </c>
      <c r="K25" s="24">
        <v>1917029</v>
      </c>
      <c r="L25" s="24">
        <v>2497675</v>
      </c>
      <c r="M25" s="24">
        <v>2775762</v>
      </c>
      <c r="N25" s="24">
        <v>2775762</v>
      </c>
      <c r="O25" s="24">
        <v>748202</v>
      </c>
      <c r="P25" s="24">
        <v>1505496</v>
      </c>
      <c r="Q25" s="24">
        <v>2524886</v>
      </c>
      <c r="R25" s="24">
        <v>3254793</v>
      </c>
      <c r="S25" s="24">
        <v>3254793</v>
      </c>
      <c r="T25" s="24">
        <v>768977</v>
      </c>
      <c r="U25" s="24">
        <v>1547941</v>
      </c>
      <c r="V25" s="24">
        <v>2353367</v>
      </c>
      <c r="W25" s="24">
        <v>3101937</v>
      </c>
      <c r="X25" s="24">
        <v>3101937</v>
      </c>
      <c r="Y25" s="24">
        <v>698908</v>
      </c>
      <c r="Z25" s="24">
        <v>909170</v>
      </c>
      <c r="AA25" s="24">
        <v>1903942</v>
      </c>
      <c r="AB25" s="24">
        <v>2870625</v>
      </c>
      <c r="AC25" s="24">
        <v>2870625</v>
      </c>
      <c r="AD25" s="24">
        <v>984036</v>
      </c>
      <c r="AE25" s="24">
        <v>2051353</v>
      </c>
      <c r="AF25" s="24">
        <v>2980116</v>
      </c>
      <c r="AG25" s="24">
        <v>3804943</v>
      </c>
      <c r="AH25" s="24">
        <v>3804943</v>
      </c>
      <c r="AI25" s="24">
        <v>849798</v>
      </c>
      <c r="AJ25" s="24">
        <v>1742755</v>
      </c>
      <c r="AK25" s="24">
        <v>2608324</v>
      </c>
      <c r="AL25" s="24">
        <v>3455902</v>
      </c>
      <c r="AM25" s="24">
        <v>3455902</v>
      </c>
      <c r="AN25" s="24">
        <v>962578</v>
      </c>
    </row>
    <row r="26" spans="3:40">
      <c r="D26" s="19"/>
      <c r="F26" s="8"/>
      <c r="G26" s="8"/>
      <c r="H26" s="8"/>
      <c r="J26" s="8"/>
      <c r="K26" s="8"/>
      <c r="L26" s="8"/>
      <c r="M26" s="8"/>
      <c r="O26" s="8"/>
      <c r="P26" s="8"/>
      <c r="Q26" s="8"/>
      <c r="R26" s="8"/>
      <c r="T26" s="8"/>
      <c r="U26" s="8"/>
      <c r="V26" s="8"/>
      <c r="W26" s="8"/>
      <c r="Y26" s="8"/>
      <c r="Z26" s="8"/>
      <c r="AA26" s="8"/>
      <c r="AB26" s="8"/>
      <c r="AD26" s="8"/>
      <c r="AE26" s="8"/>
      <c r="AF26" s="8"/>
      <c r="AG26" s="8"/>
      <c r="AI26" s="8"/>
      <c r="AJ26" s="8"/>
      <c r="AK26" s="8"/>
      <c r="AL26" s="8"/>
    </row>
    <row r="27" spans="3:40">
      <c r="D27" s="16" t="s">
        <v>282</v>
      </c>
      <c r="F27" s="8"/>
      <c r="G27" s="8"/>
      <c r="H27" s="8"/>
      <c r="J27" s="8"/>
      <c r="K27" s="8"/>
      <c r="L27" s="8"/>
      <c r="M27" s="8"/>
      <c r="O27" s="8"/>
      <c r="P27" s="8"/>
      <c r="Q27" s="8"/>
      <c r="R27" s="8"/>
      <c r="T27" s="8"/>
      <c r="U27" s="8"/>
      <c r="V27" s="8"/>
      <c r="W27" s="8"/>
      <c r="Y27" s="8"/>
      <c r="Z27" s="8"/>
      <c r="AA27" s="8"/>
      <c r="AB27" s="8"/>
      <c r="AD27" s="8"/>
      <c r="AE27" s="8"/>
      <c r="AF27" s="8"/>
      <c r="AG27" s="8"/>
      <c r="AI27" s="8"/>
      <c r="AJ27" s="8"/>
      <c r="AK27" s="8"/>
      <c r="AL27" s="8"/>
    </row>
    <row r="28" spans="3:40">
      <c r="D28" s="19" t="s">
        <v>270</v>
      </c>
      <c r="F28" s="125"/>
      <c r="G28" s="125"/>
      <c r="H28" s="125">
        <v>270051</v>
      </c>
      <c r="I28" s="125">
        <v>270051</v>
      </c>
      <c r="J28" s="125">
        <v>156239</v>
      </c>
      <c r="K28" s="125">
        <v>315547</v>
      </c>
      <c r="L28" s="125">
        <v>419439</v>
      </c>
      <c r="M28" s="125">
        <v>494904</v>
      </c>
      <c r="N28" s="125">
        <v>494904</v>
      </c>
      <c r="O28" s="125">
        <v>13635</v>
      </c>
      <c r="P28" s="125">
        <v>24276</v>
      </c>
      <c r="Q28" s="125">
        <v>38961</v>
      </c>
      <c r="R28" s="125">
        <v>52179</v>
      </c>
      <c r="S28" s="125">
        <v>52179</v>
      </c>
      <c r="T28" s="125">
        <v>15323</v>
      </c>
      <c r="U28" s="125">
        <v>29129</v>
      </c>
      <c r="V28" s="125">
        <v>45260</v>
      </c>
      <c r="W28" s="125">
        <v>65168</v>
      </c>
      <c r="X28" s="125">
        <v>65168</v>
      </c>
      <c r="Y28" s="125">
        <v>17953</v>
      </c>
      <c r="Z28" s="125">
        <v>69572</v>
      </c>
      <c r="AA28" s="125">
        <v>89082</v>
      </c>
      <c r="AB28" s="125">
        <v>114645</v>
      </c>
      <c r="AC28" s="125">
        <v>114645</v>
      </c>
      <c r="AD28" s="125">
        <v>36458</v>
      </c>
      <c r="AE28" s="125">
        <v>74869</v>
      </c>
      <c r="AF28" s="125">
        <v>114580</v>
      </c>
      <c r="AG28" s="125">
        <v>211613</v>
      </c>
      <c r="AH28" s="125">
        <v>211613</v>
      </c>
      <c r="AI28" s="125">
        <v>93920</v>
      </c>
      <c r="AJ28" s="125">
        <v>184705</v>
      </c>
      <c r="AK28" s="125">
        <v>251213</v>
      </c>
      <c r="AL28" s="125">
        <v>305852</v>
      </c>
      <c r="AM28" s="125">
        <v>305852</v>
      </c>
      <c r="AN28" s="125">
        <v>49023</v>
      </c>
    </row>
    <row r="29" spans="3:40">
      <c r="D29" s="19" t="s">
        <v>283</v>
      </c>
      <c r="F29" s="125"/>
      <c r="G29" s="125"/>
      <c r="H29" s="125">
        <v>0</v>
      </c>
      <c r="I29" s="125">
        <v>0</v>
      </c>
      <c r="J29" s="125">
        <v>-220946</v>
      </c>
      <c r="K29" s="125">
        <v>-2942173</v>
      </c>
      <c r="L29" s="125">
        <v>-2943036</v>
      </c>
      <c r="M29" s="125">
        <v>-6949528</v>
      </c>
      <c r="N29" s="125">
        <v>-6949528</v>
      </c>
      <c r="O29" s="125">
        <v>0</v>
      </c>
      <c r="P29" s="125">
        <v>0</v>
      </c>
      <c r="Q29" s="125">
        <v>0</v>
      </c>
      <c r="R29" s="125">
        <v>0</v>
      </c>
      <c r="S29" s="125">
        <v>0</v>
      </c>
      <c r="T29" s="125">
        <v>-52879</v>
      </c>
      <c r="U29" s="125">
        <v>-52879</v>
      </c>
      <c r="V29" s="125">
        <v>-52879</v>
      </c>
      <c r="W29" s="125">
        <v>0</v>
      </c>
      <c r="X29" s="125">
        <v>0</v>
      </c>
      <c r="Y29" s="125">
        <v>-354441</v>
      </c>
      <c r="Z29" s="125">
        <v>-5646739</v>
      </c>
      <c r="AA29" s="125">
        <v>-5795579</v>
      </c>
      <c r="AB29" s="125">
        <v>-5795580</v>
      </c>
      <c r="AC29" s="125">
        <v>-5795580</v>
      </c>
      <c r="AD29" s="125">
        <v>0</v>
      </c>
      <c r="AE29" s="125">
        <v>0</v>
      </c>
      <c r="AF29" s="125">
        <v>0</v>
      </c>
      <c r="AG29" s="125">
        <v>-22446</v>
      </c>
      <c r="AH29" s="125">
        <v>-22446</v>
      </c>
      <c r="AI29" s="125">
        <v>0</v>
      </c>
      <c r="AJ29" s="125">
        <v>-81271</v>
      </c>
      <c r="AK29" s="125">
        <v>-973667</v>
      </c>
      <c r="AL29" s="125">
        <v>-973817</v>
      </c>
      <c r="AM29" s="125">
        <v>-973817</v>
      </c>
      <c r="AN29" s="125">
        <v>0</v>
      </c>
    </row>
    <row r="30" spans="3:40">
      <c r="D30" s="19" t="s">
        <v>284</v>
      </c>
      <c r="F30" s="125"/>
      <c r="G30" s="125"/>
      <c r="H30" s="125">
        <v>-692935</v>
      </c>
      <c r="I30" s="125">
        <v>-692935</v>
      </c>
      <c r="J30" s="125">
        <v>0</v>
      </c>
      <c r="K30" s="125">
        <v>0</v>
      </c>
      <c r="L30" s="125">
        <v>0</v>
      </c>
      <c r="M30" s="125">
        <v>0</v>
      </c>
      <c r="N30" s="125">
        <v>0</v>
      </c>
      <c r="O30" s="125">
        <v>0</v>
      </c>
      <c r="P30" s="125">
        <v>0</v>
      </c>
      <c r="Q30" s="125">
        <v>0</v>
      </c>
      <c r="R30" s="125">
        <v>-38179</v>
      </c>
      <c r="S30" s="125">
        <v>-38179</v>
      </c>
      <c r="T30" s="125">
        <v>0</v>
      </c>
      <c r="U30" s="125">
        <v>0</v>
      </c>
      <c r="V30" s="125">
        <v>0</v>
      </c>
      <c r="W30" s="125">
        <v>-126820</v>
      </c>
      <c r="X30" s="125">
        <v>-126820</v>
      </c>
      <c r="Y30" s="125">
        <v>-15688</v>
      </c>
      <c r="Z30" s="125">
        <v>0</v>
      </c>
      <c r="AA30" s="125">
        <v>-65733</v>
      </c>
      <c r="AB30" s="125">
        <v>-95000</v>
      </c>
      <c r="AC30" s="125">
        <v>-95000</v>
      </c>
      <c r="AD30" s="125">
        <v>0</v>
      </c>
      <c r="AE30" s="125">
        <v>-68809</v>
      </c>
      <c r="AF30" s="125">
        <v>-130997</v>
      </c>
      <c r="AG30" s="125">
        <v>-184948</v>
      </c>
      <c r="AH30" s="125">
        <v>-184948</v>
      </c>
      <c r="AI30" s="125">
        <v>-2041</v>
      </c>
      <c r="AJ30" s="125">
        <v>-36347</v>
      </c>
      <c r="AK30" s="125">
        <v>-56537</v>
      </c>
      <c r="AL30" s="125">
        <v>-151019</v>
      </c>
      <c r="AM30" s="125">
        <v>-151019</v>
      </c>
      <c r="AN30" s="125">
        <v>-52136</v>
      </c>
    </row>
    <row r="31" spans="3:40">
      <c r="D31" s="19" t="s">
        <v>12</v>
      </c>
      <c r="F31" s="125"/>
      <c r="G31" s="125"/>
      <c r="H31" s="125">
        <v>0</v>
      </c>
      <c r="I31" s="125">
        <v>0</v>
      </c>
      <c r="J31" s="125">
        <v>-24</v>
      </c>
      <c r="K31" s="125">
        <v>0</v>
      </c>
      <c r="L31" s="125">
        <v>0</v>
      </c>
      <c r="M31" s="125">
        <v>0</v>
      </c>
      <c r="N31" s="125">
        <v>0</v>
      </c>
      <c r="O31" s="125">
        <v>0</v>
      </c>
      <c r="P31" s="125">
        <v>0</v>
      </c>
      <c r="Q31" s="125">
        <v>0</v>
      </c>
      <c r="R31" s="125">
        <v>0</v>
      </c>
      <c r="S31" s="125">
        <v>0</v>
      </c>
      <c r="T31" s="125">
        <v>0</v>
      </c>
      <c r="U31" s="125">
        <v>0</v>
      </c>
      <c r="V31" s="125">
        <v>0</v>
      </c>
      <c r="W31" s="125">
        <v>0</v>
      </c>
      <c r="X31" s="125">
        <v>0</v>
      </c>
      <c r="Y31" s="125">
        <v>-250000</v>
      </c>
      <c r="Z31" s="125">
        <v>0</v>
      </c>
      <c r="AA31" s="125">
        <v>0</v>
      </c>
      <c r="AB31" s="125">
        <v>0</v>
      </c>
      <c r="AC31" s="125">
        <v>0</v>
      </c>
      <c r="AD31" s="125">
        <v>0</v>
      </c>
      <c r="AE31" s="125">
        <v>0</v>
      </c>
      <c r="AF31" s="125">
        <v>0</v>
      </c>
      <c r="AG31" s="125">
        <v>0</v>
      </c>
      <c r="AH31" s="125">
        <v>0</v>
      </c>
      <c r="AI31" s="125">
        <v>0</v>
      </c>
      <c r="AJ31" s="125">
        <v>-550000</v>
      </c>
      <c r="AK31" s="125">
        <v>-350000</v>
      </c>
      <c r="AL31" s="125">
        <v>-350000</v>
      </c>
      <c r="AM31" s="125">
        <v>-350000</v>
      </c>
      <c r="AN31" s="125">
        <v>0</v>
      </c>
    </row>
    <row r="32" spans="3:40">
      <c r="D32" s="19" t="s">
        <v>14</v>
      </c>
      <c r="F32" s="125"/>
      <c r="G32" s="125"/>
      <c r="H32" s="125">
        <v>-1199</v>
      </c>
      <c r="I32" s="125">
        <v>-1199</v>
      </c>
      <c r="J32" s="125">
        <v>0</v>
      </c>
      <c r="K32" s="125">
        <v>-152</v>
      </c>
      <c r="L32" s="125">
        <v>-171</v>
      </c>
      <c r="M32" s="125">
        <v>-688</v>
      </c>
      <c r="N32" s="125">
        <v>-688</v>
      </c>
      <c r="O32" s="125">
        <v>-59</v>
      </c>
      <c r="P32" s="125">
        <v>-59</v>
      </c>
      <c r="Q32" s="125">
        <v>-59</v>
      </c>
      <c r="R32" s="125">
        <v>-86</v>
      </c>
      <c r="S32" s="125">
        <v>-86</v>
      </c>
      <c r="T32" s="125">
        <v>-13</v>
      </c>
      <c r="U32" s="125">
        <v>-25</v>
      </c>
      <c r="V32" s="125">
        <v>-36</v>
      </c>
      <c r="W32" s="125">
        <v>-59</v>
      </c>
      <c r="X32" s="125">
        <v>-59</v>
      </c>
      <c r="Y32" s="125">
        <v>0</v>
      </c>
      <c r="Z32" s="125">
        <v>-66</v>
      </c>
      <c r="AA32" s="125">
        <v>-87</v>
      </c>
      <c r="AB32" s="125">
        <v>-378</v>
      </c>
      <c r="AC32" s="125">
        <v>-378</v>
      </c>
      <c r="AD32" s="125">
        <v>-20</v>
      </c>
      <c r="AE32" s="125">
        <v>-599</v>
      </c>
      <c r="AF32" s="125">
        <v>-805</v>
      </c>
      <c r="AG32" s="125">
        <v>-2580</v>
      </c>
      <c r="AH32" s="125">
        <v>-2580</v>
      </c>
      <c r="AI32" s="125">
        <v>-22</v>
      </c>
      <c r="AJ32" s="125">
        <v>-136</v>
      </c>
      <c r="AK32" s="125">
        <v>-276</v>
      </c>
      <c r="AL32" s="125">
        <v>-1034</v>
      </c>
      <c r="AM32" s="125">
        <v>-1034</v>
      </c>
      <c r="AN32" s="125">
        <v>0</v>
      </c>
    </row>
    <row r="33" spans="3:40" ht="21.75">
      <c r="C33" s="4"/>
      <c r="D33" s="15" t="s">
        <v>285</v>
      </c>
      <c r="E33" s="24"/>
      <c r="F33" s="24"/>
      <c r="G33" s="24"/>
      <c r="H33" s="24">
        <v>-424083</v>
      </c>
      <c r="I33" s="24">
        <v>-424083</v>
      </c>
      <c r="J33" s="24">
        <v>-64731</v>
      </c>
      <c r="K33" s="24">
        <v>-2626778</v>
      </c>
      <c r="L33" s="24">
        <v>-2523768</v>
      </c>
      <c r="M33" s="24">
        <v>-6455312</v>
      </c>
      <c r="N33" s="24">
        <v>-6455312</v>
      </c>
      <c r="O33" s="24">
        <v>13576</v>
      </c>
      <c r="P33" s="24">
        <v>24217</v>
      </c>
      <c r="Q33" s="24">
        <v>38902</v>
      </c>
      <c r="R33" s="24">
        <v>13914</v>
      </c>
      <c r="S33" s="24">
        <v>13914</v>
      </c>
      <c r="T33" s="24">
        <v>-37569</v>
      </c>
      <c r="U33" s="24">
        <v>-23775</v>
      </c>
      <c r="V33" s="24">
        <v>-7655</v>
      </c>
      <c r="W33" s="24">
        <v>-61711</v>
      </c>
      <c r="X33" s="24">
        <v>-61711</v>
      </c>
      <c r="Y33" s="24">
        <v>-602176</v>
      </c>
      <c r="Z33" s="24">
        <v>-5577233</v>
      </c>
      <c r="AA33" s="24">
        <v>-5772317</v>
      </c>
      <c r="AB33" s="24">
        <v>-5776313</v>
      </c>
      <c r="AC33" s="24">
        <v>-5776313</v>
      </c>
      <c r="AD33" s="24">
        <v>36438</v>
      </c>
      <c r="AE33" s="24">
        <v>5461</v>
      </c>
      <c r="AF33" s="24">
        <v>-17222</v>
      </c>
      <c r="AG33" s="24">
        <v>1639</v>
      </c>
      <c r="AH33" s="24">
        <v>1639</v>
      </c>
      <c r="AI33" s="24">
        <v>91857</v>
      </c>
      <c r="AJ33" s="24">
        <v>-483049</v>
      </c>
      <c r="AK33" s="24">
        <v>-1129267</v>
      </c>
      <c r="AL33" s="24">
        <v>-1170018</v>
      </c>
      <c r="AM33" s="24">
        <v>-1170018</v>
      </c>
      <c r="AN33" s="24">
        <v>-3113</v>
      </c>
    </row>
    <row r="34" spans="3:40">
      <c r="D34" s="19"/>
      <c r="F34" s="8"/>
      <c r="G34" s="8"/>
      <c r="H34" s="8"/>
      <c r="J34" s="8"/>
      <c r="K34" s="8"/>
      <c r="L34" s="8"/>
      <c r="M34" s="8"/>
      <c r="O34" s="8"/>
      <c r="P34" s="8"/>
      <c r="Q34" s="8"/>
      <c r="R34" s="8"/>
      <c r="T34" s="8"/>
      <c r="U34" s="8"/>
      <c r="V34" s="8"/>
      <c r="W34" s="8"/>
      <c r="Y34" s="8"/>
      <c r="Z34" s="8"/>
      <c r="AA34" s="8"/>
      <c r="AB34" s="8"/>
      <c r="AD34" s="8"/>
      <c r="AE34" s="8"/>
      <c r="AF34" s="8"/>
      <c r="AG34" s="8"/>
      <c r="AI34" s="8"/>
      <c r="AJ34" s="8"/>
      <c r="AK34" s="8"/>
      <c r="AL34" s="8"/>
    </row>
    <row r="35" spans="3:40">
      <c r="D35" s="16" t="s">
        <v>281</v>
      </c>
      <c r="F35" s="8"/>
      <c r="G35" s="8"/>
      <c r="H35" s="8"/>
      <c r="J35" s="8"/>
      <c r="K35" s="8"/>
      <c r="L35" s="8"/>
      <c r="M35" s="8"/>
      <c r="O35" s="8"/>
      <c r="P35" s="8"/>
      <c r="Q35" s="8"/>
      <c r="R35" s="8"/>
      <c r="T35" s="8"/>
      <c r="U35" s="8"/>
      <c r="V35" s="8"/>
      <c r="W35" s="8"/>
      <c r="Y35" s="8"/>
      <c r="Z35" s="8"/>
      <c r="AA35" s="8"/>
      <c r="AB35" s="8"/>
      <c r="AD35" s="8"/>
      <c r="AE35" s="8"/>
      <c r="AF35" s="8"/>
      <c r="AG35" s="8"/>
      <c r="AI35" s="8"/>
      <c r="AJ35" s="8"/>
      <c r="AK35" s="8"/>
      <c r="AL35" s="8"/>
    </row>
    <row r="36" spans="3:40">
      <c r="D36" s="19" t="s">
        <v>296</v>
      </c>
      <c r="F36" s="125"/>
      <c r="G36" s="125"/>
      <c r="H36" s="125">
        <v>9262608</v>
      </c>
      <c r="I36" s="125">
        <v>9262608</v>
      </c>
      <c r="J36" s="125">
        <v>0</v>
      </c>
      <c r="K36" s="125">
        <v>0</v>
      </c>
      <c r="L36" s="125">
        <v>0</v>
      </c>
      <c r="M36" s="125">
        <v>0</v>
      </c>
      <c r="N36" s="125">
        <v>0</v>
      </c>
      <c r="O36" s="125">
        <v>0</v>
      </c>
      <c r="P36" s="125">
        <v>0</v>
      </c>
      <c r="Q36" s="125">
        <v>0</v>
      </c>
      <c r="R36" s="125">
        <v>0</v>
      </c>
      <c r="S36" s="125">
        <v>0</v>
      </c>
      <c r="T36" s="125">
        <v>0</v>
      </c>
      <c r="U36" s="125">
        <v>0</v>
      </c>
      <c r="V36" s="125">
        <v>0</v>
      </c>
      <c r="W36" s="125">
        <v>0</v>
      </c>
      <c r="X36" s="125">
        <v>0</v>
      </c>
      <c r="Y36" s="125">
        <v>0</v>
      </c>
      <c r="Z36" s="125">
        <v>0</v>
      </c>
      <c r="AA36" s="125">
        <v>0</v>
      </c>
      <c r="AB36" s="125">
        <v>0</v>
      </c>
      <c r="AC36" s="125">
        <v>0</v>
      </c>
      <c r="AD36" s="125">
        <v>0</v>
      </c>
      <c r="AE36" s="125">
        <v>0</v>
      </c>
      <c r="AF36" s="125">
        <v>0</v>
      </c>
      <c r="AG36" s="125">
        <v>0</v>
      </c>
      <c r="AH36" s="125">
        <v>0</v>
      </c>
      <c r="AI36" s="125">
        <v>0</v>
      </c>
      <c r="AJ36" s="125">
        <v>0</v>
      </c>
      <c r="AK36" s="125">
        <v>0</v>
      </c>
      <c r="AL36" s="125">
        <v>0</v>
      </c>
      <c r="AM36" s="125">
        <v>0</v>
      </c>
      <c r="AN36" s="125">
        <v>0</v>
      </c>
    </row>
    <row r="37" spans="3:40">
      <c r="D37" s="19" t="s">
        <v>297</v>
      </c>
      <c r="F37" s="125"/>
      <c r="G37" s="125"/>
      <c r="H37" s="125">
        <v>-365137</v>
      </c>
      <c r="I37" s="125">
        <v>-365137</v>
      </c>
      <c r="J37" s="125">
        <v>0</v>
      </c>
      <c r="K37" s="125">
        <v>0</v>
      </c>
      <c r="L37" s="125">
        <v>0</v>
      </c>
      <c r="M37" s="125">
        <v>0</v>
      </c>
      <c r="N37" s="125">
        <v>0</v>
      </c>
      <c r="O37" s="125">
        <v>0</v>
      </c>
      <c r="P37" s="125">
        <v>0</v>
      </c>
      <c r="Q37" s="125">
        <v>0</v>
      </c>
      <c r="R37" s="125">
        <v>0</v>
      </c>
      <c r="S37" s="125">
        <v>0</v>
      </c>
      <c r="T37" s="125">
        <v>0</v>
      </c>
      <c r="U37" s="125">
        <v>0</v>
      </c>
      <c r="V37" s="125">
        <v>0</v>
      </c>
      <c r="W37" s="125">
        <v>0</v>
      </c>
      <c r="X37" s="125">
        <v>0</v>
      </c>
      <c r="Y37" s="125">
        <v>0</v>
      </c>
      <c r="Z37" s="125">
        <v>0</v>
      </c>
      <c r="AA37" s="125">
        <v>0</v>
      </c>
      <c r="AB37" s="125">
        <v>0</v>
      </c>
      <c r="AC37" s="125">
        <v>0</v>
      </c>
      <c r="AD37" s="125">
        <v>0</v>
      </c>
      <c r="AE37" s="125">
        <v>0</v>
      </c>
      <c r="AF37" s="125">
        <v>0</v>
      </c>
      <c r="AG37" s="125">
        <v>0</v>
      </c>
      <c r="AH37" s="125">
        <v>0</v>
      </c>
      <c r="AI37" s="125">
        <v>0</v>
      </c>
      <c r="AJ37" s="125">
        <v>0</v>
      </c>
      <c r="AK37" s="125">
        <v>0</v>
      </c>
      <c r="AL37" s="125">
        <v>0</v>
      </c>
      <c r="AM37" s="125">
        <v>0</v>
      </c>
      <c r="AN37" s="125">
        <v>0</v>
      </c>
    </row>
    <row r="38" spans="3:40">
      <c r="D38" s="19" t="s">
        <v>23</v>
      </c>
      <c r="F38" s="125"/>
      <c r="G38" s="125"/>
      <c r="H38" s="125">
        <v>0</v>
      </c>
      <c r="I38" s="125">
        <v>0</v>
      </c>
      <c r="J38" s="125">
        <v>0</v>
      </c>
      <c r="K38" s="125">
        <v>0</v>
      </c>
      <c r="L38" s="125">
        <v>-3420</v>
      </c>
      <c r="M38" s="125">
        <v>-4560</v>
      </c>
      <c r="N38" s="125">
        <v>-4560</v>
      </c>
      <c r="O38" s="125">
        <v>-1185</v>
      </c>
      <c r="P38" s="125">
        <v>-2360</v>
      </c>
      <c r="Q38" s="125">
        <v>-3535</v>
      </c>
      <c r="R38" s="125">
        <v>-4708</v>
      </c>
      <c r="S38" s="125">
        <v>-4708</v>
      </c>
      <c r="T38" s="125">
        <v>-1226</v>
      </c>
      <c r="U38" s="125">
        <v>-2439</v>
      </c>
      <c r="V38" s="125">
        <v>-3651</v>
      </c>
      <c r="W38" s="125">
        <v>-4895</v>
      </c>
      <c r="X38" s="125">
        <v>-4895</v>
      </c>
      <c r="Y38" s="125">
        <v>-1303</v>
      </c>
      <c r="Z38" s="125">
        <v>-2605</v>
      </c>
      <c r="AA38" s="125">
        <v>-3908</v>
      </c>
      <c r="AB38" s="125">
        <v>-5243</v>
      </c>
      <c r="AC38" s="125">
        <v>-5243</v>
      </c>
      <c r="AD38" s="125">
        <v>-1404</v>
      </c>
      <c r="AE38" s="125">
        <v>-1404</v>
      </c>
      <c r="AF38" s="125">
        <v>-4211</v>
      </c>
      <c r="AG38" s="125">
        <v>-5635</v>
      </c>
      <c r="AH38" s="125">
        <v>-5635</v>
      </c>
      <c r="AI38" s="125">
        <v>-1465</v>
      </c>
      <c r="AJ38" s="125">
        <v>-2929</v>
      </c>
      <c r="AK38" s="125">
        <v>-4395</v>
      </c>
      <c r="AL38" s="125">
        <v>-5880</v>
      </c>
      <c r="AM38" s="125">
        <v>-5880</v>
      </c>
      <c r="AN38" s="125">
        <v>-1531</v>
      </c>
    </row>
    <row r="39" spans="3:40">
      <c r="D39" s="19" t="s">
        <v>287</v>
      </c>
      <c r="F39" s="125"/>
      <c r="G39" s="125"/>
      <c r="H39" s="125">
        <v>0</v>
      </c>
      <c r="I39" s="125">
        <v>0</v>
      </c>
      <c r="J39" s="125">
        <v>0</v>
      </c>
      <c r="K39" s="125">
        <v>0</v>
      </c>
      <c r="L39" s="125">
        <v>0</v>
      </c>
      <c r="M39" s="125">
        <v>0</v>
      </c>
      <c r="N39" s="125">
        <v>0</v>
      </c>
      <c r="O39" s="125">
        <v>0</v>
      </c>
      <c r="P39" s="125">
        <v>0</v>
      </c>
      <c r="Q39" s="125">
        <v>0</v>
      </c>
      <c r="R39" s="125">
        <v>0</v>
      </c>
      <c r="S39" s="125">
        <v>0</v>
      </c>
      <c r="T39" s="125">
        <v>0</v>
      </c>
      <c r="U39" s="125">
        <v>0</v>
      </c>
      <c r="V39" s="125">
        <v>0</v>
      </c>
      <c r="W39" s="125">
        <v>0</v>
      </c>
      <c r="X39" s="125">
        <v>0</v>
      </c>
      <c r="Y39" s="125">
        <v>0</v>
      </c>
      <c r="Z39" s="125">
        <v>5604857</v>
      </c>
      <c r="AA39" s="125">
        <v>5785000</v>
      </c>
      <c r="AB39" s="125">
        <v>5785000</v>
      </c>
      <c r="AC39" s="125">
        <v>5785000</v>
      </c>
      <c r="AD39" s="125">
        <v>0</v>
      </c>
      <c r="AE39" s="125">
        <v>0</v>
      </c>
      <c r="AF39" s="125">
        <v>3789885</v>
      </c>
      <c r="AG39" s="125">
        <v>7723032</v>
      </c>
      <c r="AH39" s="125">
        <v>7723032</v>
      </c>
      <c r="AI39" s="125">
        <v>0</v>
      </c>
      <c r="AJ39" s="125">
        <v>0</v>
      </c>
      <c r="AK39" s="125">
        <v>0</v>
      </c>
      <c r="AL39" s="125">
        <v>0</v>
      </c>
      <c r="AM39" s="125">
        <v>0</v>
      </c>
      <c r="AN39" s="125">
        <v>0</v>
      </c>
    </row>
    <row r="40" spans="3:40">
      <c r="D40" s="19" t="s">
        <v>288</v>
      </c>
      <c r="F40" s="125"/>
      <c r="G40" s="125"/>
      <c r="H40" s="125">
        <v>0</v>
      </c>
      <c r="I40" s="125">
        <v>0</v>
      </c>
      <c r="J40" s="125">
        <v>0</v>
      </c>
      <c r="K40" s="125">
        <v>0</v>
      </c>
      <c r="L40" s="125">
        <v>0</v>
      </c>
      <c r="M40" s="125">
        <v>0</v>
      </c>
      <c r="N40" s="125">
        <v>0</v>
      </c>
      <c r="O40" s="125">
        <v>0</v>
      </c>
      <c r="P40" s="125">
        <v>0</v>
      </c>
      <c r="Q40" s="125">
        <v>0</v>
      </c>
      <c r="R40" s="125">
        <v>0</v>
      </c>
      <c r="S40" s="125">
        <v>0</v>
      </c>
      <c r="T40" s="125">
        <v>0</v>
      </c>
      <c r="U40" s="125">
        <v>0</v>
      </c>
      <c r="V40" s="125">
        <v>0</v>
      </c>
      <c r="W40" s="125">
        <v>0</v>
      </c>
      <c r="X40" s="125">
        <v>0</v>
      </c>
      <c r="Y40" s="125">
        <v>0</v>
      </c>
      <c r="Z40" s="125">
        <v>0</v>
      </c>
      <c r="AA40" s="125">
        <v>-116132</v>
      </c>
      <c r="AB40" s="125">
        <v>-116132</v>
      </c>
      <c r="AC40" s="125">
        <v>-116132</v>
      </c>
      <c r="AD40" s="125">
        <v>0</v>
      </c>
      <c r="AE40" s="125">
        <v>0</v>
      </c>
      <c r="AF40" s="125">
        <v>-31733</v>
      </c>
      <c r="AG40" s="125">
        <v>-56554</v>
      </c>
      <c r="AH40" s="125">
        <v>-56554</v>
      </c>
      <c r="AI40" s="125">
        <v>0</v>
      </c>
      <c r="AJ40" s="125">
        <v>0</v>
      </c>
      <c r="AK40" s="125">
        <v>0</v>
      </c>
      <c r="AL40" s="125">
        <v>0</v>
      </c>
      <c r="AM40" s="125">
        <v>0</v>
      </c>
      <c r="AN40" s="125">
        <v>0</v>
      </c>
    </row>
    <row r="41" spans="3:40">
      <c r="D41" s="19" t="s">
        <v>289</v>
      </c>
      <c r="F41" s="125"/>
      <c r="G41" s="125"/>
      <c r="H41" s="125">
        <v>0</v>
      </c>
      <c r="I41" s="125">
        <v>0</v>
      </c>
      <c r="J41" s="125">
        <v>0</v>
      </c>
      <c r="K41" s="125">
        <v>0</v>
      </c>
      <c r="L41" s="125">
        <v>0</v>
      </c>
      <c r="M41" s="125">
        <v>0</v>
      </c>
      <c r="N41" s="125">
        <v>0</v>
      </c>
      <c r="O41" s="125">
        <v>0</v>
      </c>
      <c r="P41" s="125">
        <v>0</v>
      </c>
      <c r="Q41" s="125">
        <v>0</v>
      </c>
      <c r="R41" s="125">
        <v>0</v>
      </c>
      <c r="S41" s="125">
        <v>0</v>
      </c>
      <c r="T41" s="125">
        <v>0</v>
      </c>
      <c r="U41" s="125">
        <v>0</v>
      </c>
      <c r="V41" s="125">
        <v>0</v>
      </c>
      <c r="W41" s="125">
        <v>0</v>
      </c>
      <c r="X41" s="125">
        <v>0</v>
      </c>
      <c r="Y41" s="125">
        <v>0</v>
      </c>
      <c r="Z41" s="125">
        <v>0</v>
      </c>
      <c r="AA41" s="125">
        <v>-221067</v>
      </c>
      <c r="AB41" s="125">
        <v>-392258</v>
      </c>
      <c r="AC41" s="125">
        <v>-392258</v>
      </c>
      <c r="AD41" s="125">
        <v>-186445</v>
      </c>
      <c r="AE41" s="125">
        <v>-406265</v>
      </c>
      <c r="AF41" s="125">
        <v>-572797</v>
      </c>
      <c r="AG41" s="125">
        <v>-677938</v>
      </c>
      <c r="AH41" s="125">
        <v>-677938</v>
      </c>
      <c r="AI41" s="125">
        <v>-271345</v>
      </c>
      <c r="AJ41" s="125">
        <v>-343772</v>
      </c>
      <c r="AK41" s="125">
        <v>-617006</v>
      </c>
      <c r="AL41" s="125">
        <v>-669161</v>
      </c>
      <c r="AM41" s="125">
        <v>-669161</v>
      </c>
      <c r="AN41" s="125">
        <v>-288419</v>
      </c>
    </row>
    <row r="42" spans="3:40">
      <c r="D42" s="19" t="s">
        <v>290</v>
      </c>
      <c r="F42" s="125"/>
      <c r="G42" s="125"/>
      <c r="H42" s="125">
        <v>0</v>
      </c>
      <c r="I42" s="125">
        <v>0</v>
      </c>
      <c r="J42" s="125">
        <v>0</v>
      </c>
      <c r="K42" s="125">
        <v>0</v>
      </c>
      <c r="L42" s="125">
        <v>0</v>
      </c>
      <c r="M42" s="125">
        <v>0</v>
      </c>
      <c r="N42" s="125">
        <v>0</v>
      </c>
      <c r="O42" s="125">
        <v>0</v>
      </c>
      <c r="P42" s="125">
        <v>0</v>
      </c>
      <c r="Q42" s="125">
        <v>0</v>
      </c>
      <c r="R42" s="125">
        <v>0</v>
      </c>
      <c r="S42" s="125">
        <v>0</v>
      </c>
      <c r="T42" s="125">
        <v>0</v>
      </c>
      <c r="U42" s="125">
        <v>0</v>
      </c>
      <c r="V42" s="125">
        <v>0</v>
      </c>
      <c r="W42" s="125">
        <v>0</v>
      </c>
      <c r="X42" s="125">
        <v>0</v>
      </c>
      <c r="Y42" s="125">
        <v>0</v>
      </c>
      <c r="Z42" s="125">
        <v>0</v>
      </c>
      <c r="AA42" s="125">
        <v>-90000</v>
      </c>
      <c r="AB42" s="125">
        <v>-90000</v>
      </c>
      <c r="AC42" s="125">
        <v>-90000</v>
      </c>
      <c r="AD42" s="125">
        <v>0</v>
      </c>
      <c r="AE42" s="125">
        <v>0</v>
      </c>
      <c r="AF42" s="125">
        <v>-3703618</v>
      </c>
      <c r="AG42" s="125">
        <v>-5695000</v>
      </c>
      <c r="AH42" s="125">
        <v>-5695000</v>
      </c>
      <c r="AI42" s="125">
        <v>0</v>
      </c>
      <c r="AJ42" s="125">
        <v>0</v>
      </c>
      <c r="AK42" s="125">
        <v>0</v>
      </c>
      <c r="AL42" s="125">
        <v>0</v>
      </c>
      <c r="AM42" s="125">
        <v>0</v>
      </c>
      <c r="AN42" s="125">
        <v>0</v>
      </c>
    </row>
    <row r="43" spans="3:40">
      <c r="D43" s="19" t="s">
        <v>291</v>
      </c>
      <c r="F43" s="125"/>
      <c r="G43" s="125"/>
      <c r="H43" s="125">
        <v>-594538</v>
      </c>
      <c r="I43" s="125">
        <v>-594538</v>
      </c>
      <c r="J43" s="125">
        <v>-591108</v>
      </c>
      <c r="K43" s="125">
        <v>-1189413</v>
      </c>
      <c r="L43" s="125">
        <v>-1792156</v>
      </c>
      <c r="M43" s="125">
        <v>-2416994</v>
      </c>
      <c r="N43" s="125">
        <v>-2416994</v>
      </c>
      <c r="O43" s="125">
        <v>-656573</v>
      </c>
      <c r="P43" s="125">
        <v>-1293983</v>
      </c>
      <c r="Q43" s="125">
        <v>-1930602</v>
      </c>
      <c r="R43" s="125">
        <v>-2614360</v>
      </c>
      <c r="S43" s="125">
        <v>-2614360</v>
      </c>
      <c r="T43" s="125">
        <v>-685767</v>
      </c>
      <c r="U43" s="125">
        <v>-1369445</v>
      </c>
      <c r="V43" s="125">
        <v>-2056272</v>
      </c>
      <c r="W43" s="125">
        <v>-2756148</v>
      </c>
      <c r="X43" s="125">
        <v>-2756148</v>
      </c>
      <c r="Y43" s="125">
        <v>-700436</v>
      </c>
      <c r="Z43" s="125">
        <v>-1401798</v>
      </c>
      <c r="AA43" s="125">
        <v>-2104695</v>
      </c>
      <c r="AB43" s="125">
        <v>-2811604</v>
      </c>
      <c r="AC43" s="125">
        <v>-2811604</v>
      </c>
      <c r="AD43" s="125">
        <v>-690945</v>
      </c>
      <c r="AE43" s="125">
        <v>-1390964</v>
      </c>
      <c r="AF43" s="125">
        <v>-2091747</v>
      </c>
      <c r="AG43" s="125">
        <v>-2817625</v>
      </c>
      <c r="AH43" s="125">
        <v>-2817625</v>
      </c>
      <c r="AI43" s="125">
        <v>-705990</v>
      </c>
      <c r="AJ43" s="125">
        <v>-1437548</v>
      </c>
      <c r="AK43" s="125">
        <v>-2172658</v>
      </c>
      <c r="AL43" s="125">
        <v>-2931324</v>
      </c>
      <c r="AM43" s="125">
        <v>-2931324</v>
      </c>
      <c r="AN43" s="125">
        <v>-773679</v>
      </c>
    </row>
    <row r="44" spans="3:40" ht="21.75">
      <c r="C44" s="4"/>
      <c r="D44" s="15" t="s">
        <v>292</v>
      </c>
      <c r="E44" s="24"/>
      <c r="F44" s="24"/>
      <c r="G44" s="24"/>
      <c r="H44" s="24">
        <v>8302933</v>
      </c>
      <c r="I44" s="24">
        <v>8302933</v>
      </c>
      <c r="J44" s="24">
        <v>-591108</v>
      </c>
      <c r="K44" s="24">
        <v>-1189413</v>
      </c>
      <c r="L44" s="24">
        <v>-1795576</v>
      </c>
      <c r="M44" s="24">
        <v>-2421554</v>
      </c>
      <c r="N44" s="24">
        <v>-2421554</v>
      </c>
      <c r="O44" s="24">
        <v>-657758</v>
      </c>
      <c r="P44" s="24">
        <v>-1296343</v>
      </c>
      <c r="Q44" s="24">
        <v>-1934137</v>
      </c>
      <c r="R44" s="24">
        <v>-2619068</v>
      </c>
      <c r="S44" s="24">
        <v>-2619068</v>
      </c>
      <c r="T44" s="24">
        <v>-686993</v>
      </c>
      <c r="U44" s="24">
        <v>-1371884</v>
      </c>
      <c r="V44" s="24">
        <v>-2059923</v>
      </c>
      <c r="W44" s="24">
        <v>-2761043</v>
      </c>
      <c r="X44" s="24">
        <v>-2761043</v>
      </c>
      <c r="Y44" s="24">
        <v>-701739</v>
      </c>
      <c r="Z44" s="24">
        <v>4200454</v>
      </c>
      <c r="AA44" s="24">
        <v>3249198</v>
      </c>
      <c r="AB44" s="24">
        <v>2369763</v>
      </c>
      <c r="AC44" s="24">
        <v>2369763</v>
      </c>
      <c r="AD44" s="24">
        <v>-878794</v>
      </c>
      <c r="AE44" s="24">
        <v>-1798633</v>
      </c>
      <c r="AF44" s="24">
        <v>-2614221</v>
      </c>
      <c r="AG44" s="24">
        <v>-1529720</v>
      </c>
      <c r="AH44" s="24">
        <v>-1529720</v>
      </c>
      <c r="AI44" s="24">
        <v>-978800</v>
      </c>
      <c r="AJ44" s="24">
        <v>-1784249</v>
      </c>
      <c r="AK44" s="24">
        <v>-2794059</v>
      </c>
      <c r="AL44" s="24">
        <v>-3606365</v>
      </c>
      <c r="AM44" s="24">
        <v>-3606365</v>
      </c>
      <c r="AN44" s="24">
        <v>-1063629</v>
      </c>
    </row>
    <row r="45" spans="3:40">
      <c r="D45" s="19"/>
      <c r="F45" s="8"/>
      <c r="G45" s="8"/>
      <c r="H45" s="8"/>
      <c r="J45" s="8"/>
      <c r="K45" s="8"/>
      <c r="L45" s="8"/>
      <c r="M45" s="8"/>
      <c r="O45" s="8"/>
      <c r="P45" s="8"/>
      <c r="Q45" s="8"/>
      <c r="R45" s="8"/>
      <c r="T45" s="8"/>
      <c r="U45" s="8"/>
      <c r="V45" s="8"/>
      <c r="W45" s="8"/>
      <c r="Y45" s="8"/>
      <c r="Z45" s="8"/>
      <c r="AA45" s="8"/>
      <c r="AB45" s="8"/>
      <c r="AD45" s="8"/>
      <c r="AE45" s="8"/>
      <c r="AF45" s="8"/>
      <c r="AG45" s="8"/>
      <c r="AI45" s="8"/>
      <c r="AJ45" s="8"/>
      <c r="AK45" s="8"/>
      <c r="AL45" s="8"/>
    </row>
    <row r="46" spans="3:40">
      <c r="D46" s="19" t="s">
        <v>293</v>
      </c>
      <c r="F46" s="125"/>
      <c r="G46" s="125"/>
      <c r="H46" s="125">
        <v>6894234</v>
      </c>
      <c r="I46" s="125">
        <v>6894234</v>
      </c>
      <c r="J46" s="125">
        <v>1051977</v>
      </c>
      <c r="K46" s="125">
        <v>-1899162</v>
      </c>
      <c r="L46" s="125">
        <v>-1821669</v>
      </c>
      <c r="M46" s="125">
        <v>-6101104</v>
      </c>
      <c r="N46" s="125">
        <v>-6101104</v>
      </c>
      <c r="O46" s="125">
        <v>104020</v>
      </c>
      <c r="P46" s="125">
        <v>233370</v>
      </c>
      <c r="Q46" s="125">
        <v>629651</v>
      </c>
      <c r="R46" s="125">
        <v>649639</v>
      </c>
      <c r="S46" s="125">
        <v>649639</v>
      </c>
      <c r="T46" s="125">
        <v>44415</v>
      </c>
      <c r="U46" s="125">
        <v>152282</v>
      </c>
      <c r="V46" s="125">
        <v>285789</v>
      </c>
      <c r="W46" s="125">
        <v>279183</v>
      </c>
      <c r="X46" s="125">
        <v>279183</v>
      </c>
      <c r="Y46" s="125">
        <v>-605007</v>
      </c>
      <c r="Z46" s="125">
        <v>-467609</v>
      </c>
      <c r="AA46" s="125">
        <v>-619177</v>
      </c>
      <c r="AB46" s="125">
        <v>-535925</v>
      </c>
      <c r="AC46" s="125">
        <v>-535925</v>
      </c>
      <c r="AD46" s="125">
        <v>179458</v>
      </c>
      <c r="AE46" s="125">
        <v>258181</v>
      </c>
      <c r="AF46" s="125">
        <v>298673</v>
      </c>
      <c r="AG46" s="125">
        <v>2276862</v>
      </c>
      <c r="AH46" s="125">
        <v>2276862</v>
      </c>
      <c r="AI46" s="125">
        <v>-37145</v>
      </c>
      <c r="AJ46" s="125">
        <v>-524543</v>
      </c>
      <c r="AK46" s="125">
        <v>-1315002</v>
      </c>
      <c r="AL46" s="125">
        <v>-1320481</v>
      </c>
      <c r="AM46" s="125">
        <v>-1320481</v>
      </c>
      <c r="AN46" s="125">
        <v>-104164</v>
      </c>
    </row>
    <row r="47" spans="3:40">
      <c r="D47" s="19" t="s">
        <v>294</v>
      </c>
      <c r="F47" s="125"/>
      <c r="G47" s="125"/>
      <c r="H47" s="125">
        <v>0</v>
      </c>
      <c r="I47" s="125">
        <v>0</v>
      </c>
      <c r="J47" s="125">
        <v>6894234</v>
      </c>
      <c r="K47" s="125">
        <v>6894234</v>
      </c>
      <c r="L47" s="125">
        <v>6894234</v>
      </c>
      <c r="M47" s="125">
        <v>6894234</v>
      </c>
      <c r="N47" s="125">
        <v>6894234</v>
      </c>
      <c r="O47" s="125">
        <v>793130</v>
      </c>
      <c r="P47" s="125">
        <v>793130</v>
      </c>
      <c r="Q47" s="125">
        <v>793130</v>
      </c>
      <c r="R47" s="125">
        <v>793130</v>
      </c>
      <c r="S47" s="125">
        <v>793130</v>
      </c>
      <c r="T47" s="125">
        <v>1442769</v>
      </c>
      <c r="U47" s="125">
        <v>1442769</v>
      </c>
      <c r="V47" s="125">
        <v>1442769</v>
      </c>
      <c r="W47" s="125">
        <v>1442769</v>
      </c>
      <c r="X47" s="125">
        <v>1442769</v>
      </c>
      <c r="Y47" s="125">
        <v>1721952</v>
      </c>
      <c r="Z47" s="125">
        <v>1721952</v>
      </c>
      <c r="AA47" s="125">
        <v>1721952</v>
      </c>
      <c r="AB47" s="125">
        <v>1721952</v>
      </c>
      <c r="AC47" s="125">
        <v>1721952</v>
      </c>
      <c r="AD47" s="125">
        <v>1186027</v>
      </c>
      <c r="AE47" s="125">
        <v>1186027</v>
      </c>
      <c r="AF47" s="125">
        <v>1186027</v>
      </c>
      <c r="AG47" s="125">
        <v>1186027</v>
      </c>
      <c r="AH47" s="125">
        <v>1186027</v>
      </c>
      <c r="AI47" s="125">
        <v>3462889</v>
      </c>
      <c r="AJ47" s="125">
        <v>3462889</v>
      </c>
      <c r="AK47" s="125">
        <v>3462889</v>
      </c>
      <c r="AL47" s="125">
        <v>3462889</v>
      </c>
      <c r="AM47" s="125">
        <v>3462889</v>
      </c>
      <c r="AN47" s="125">
        <v>2142408</v>
      </c>
    </row>
    <row r="48" spans="3:40" ht="21.75">
      <c r="D48" s="127" t="s">
        <v>295</v>
      </c>
      <c r="E48" s="127"/>
      <c r="F48" s="128"/>
      <c r="G48" s="128"/>
      <c r="H48" s="128">
        <v>6894234</v>
      </c>
      <c r="I48" s="128">
        <v>6894234</v>
      </c>
      <c r="J48" s="128">
        <v>7946211</v>
      </c>
      <c r="K48" s="128">
        <v>4995072</v>
      </c>
      <c r="L48" s="128">
        <v>5072565</v>
      </c>
      <c r="M48" s="128">
        <v>793130</v>
      </c>
      <c r="N48" s="128">
        <v>793130</v>
      </c>
      <c r="O48" s="128">
        <v>897150</v>
      </c>
      <c r="P48" s="128">
        <v>1026500</v>
      </c>
      <c r="Q48" s="128">
        <v>1422781</v>
      </c>
      <c r="R48" s="128">
        <v>1442769</v>
      </c>
      <c r="S48" s="128">
        <v>1442769</v>
      </c>
      <c r="T48" s="128">
        <v>1487184</v>
      </c>
      <c r="U48" s="128">
        <v>1595051</v>
      </c>
      <c r="V48" s="128">
        <v>1728558</v>
      </c>
      <c r="W48" s="128">
        <v>1721952</v>
      </c>
      <c r="X48" s="128">
        <v>1721952</v>
      </c>
      <c r="Y48" s="128">
        <v>1116945</v>
      </c>
      <c r="Z48" s="128">
        <v>1254343</v>
      </c>
      <c r="AA48" s="128">
        <v>1102775</v>
      </c>
      <c r="AB48" s="128">
        <v>1186027</v>
      </c>
      <c r="AC48" s="128">
        <v>1186027</v>
      </c>
      <c r="AD48" s="128">
        <v>1365485</v>
      </c>
      <c r="AE48" s="128">
        <v>1444208</v>
      </c>
      <c r="AF48" s="128">
        <v>1484700</v>
      </c>
      <c r="AG48" s="128">
        <v>3462889</v>
      </c>
      <c r="AH48" s="128">
        <v>3462889</v>
      </c>
      <c r="AI48" s="128">
        <v>3425744</v>
      </c>
      <c r="AJ48" s="128">
        <v>2938346</v>
      </c>
      <c r="AK48" s="128">
        <v>2147887</v>
      </c>
      <c r="AL48" s="128">
        <v>2142408</v>
      </c>
      <c r="AM48" s="128">
        <v>2142408</v>
      </c>
      <c r="AN48" s="128">
        <v>2038244</v>
      </c>
    </row>
    <row r="49" spans="4:4">
      <c r="D49" s="19"/>
    </row>
    <row r="50" spans="4:4">
      <c r="D50" s="19"/>
    </row>
    <row r="51" spans="4:4">
      <c r="D51" s="19"/>
    </row>
    <row r="52" spans="4:4">
      <c r="D52" s="19"/>
    </row>
  </sheetData>
  <hyperlinks>
    <hyperlink ref="B2" location="Indice!A1" display="Regreso al índice" xr:uid="{97103843-5FF3-46C1-AB51-48B620A79764}"/>
  </hyperlinks>
  <pageMargins left="0.7" right="0.7" top="0.75" bottom="0.75" header="0.3" footer="0.3"/>
  <pageSetup scale="41"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5DA363BA70974C84ED114C3E005205" ma:contentTypeVersion="11" ma:contentTypeDescription="Create a new document." ma:contentTypeScope="" ma:versionID="8b9d2c2c87b89f1780f8d9dd0d5bfec0">
  <xsd:schema xmlns:xsd="http://www.w3.org/2001/XMLSchema" xmlns:xs="http://www.w3.org/2001/XMLSchema" xmlns:p="http://schemas.microsoft.com/office/2006/metadata/properties" xmlns:ns2="5ff52989-e26b-4829-bf17-38710aa9cad6" xmlns:ns3="ce8da139-0c94-4d80-b877-9752044b7374" targetNamespace="http://schemas.microsoft.com/office/2006/metadata/properties" ma:root="true" ma:fieldsID="d1c31cd27cf01f52d3cf63254e4b864c" ns2:_="" ns3:_="">
    <xsd:import namespace="5ff52989-e26b-4829-bf17-38710aa9cad6"/>
    <xsd:import namespace="ce8da139-0c94-4d80-b877-9752044b73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52989-e26b-4829-bf17-38710aa9ca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0c178df-6bdd-482b-89d8-099c149f8ab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8da139-0c94-4d80-b877-9752044b73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cfef48-f912-4c44-8669-e673c1ba5a43}" ma:internalName="TaxCatchAll" ma:showField="CatchAllData" ma:web="ce8da139-0c94-4d80-b877-9752044b73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FdsFormulaCache xmlns="urn:fdsformulacache" version="2" timestamp="1746210839"><![CDATA[{"EDUCA18-MX^FG_PRICE(45779)":53.0}]]></FdsFormulaCache>
</file>

<file path=customXml/item3.xml><?xml version="1.0" encoding="utf-8"?>
<p:properties xmlns:p="http://schemas.microsoft.com/office/2006/metadata/properties" xmlns:xsi="http://www.w3.org/2001/XMLSchema-instance" xmlns:pc="http://schemas.microsoft.com/office/infopath/2007/PartnerControls">
  <documentManagement>
    <TaxCatchAll xmlns="ce8da139-0c94-4d80-b877-9752044b7374" xsi:nil="true"/>
    <lcf76f155ced4ddcb4097134ff3c332f xmlns="5ff52989-e26b-4829-bf17-38710aa9cad6">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B8CD36-F6D8-4583-8FF5-BBA1769588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52989-e26b-4829-bf17-38710aa9cad6"/>
    <ds:schemaRef ds:uri="ce8da139-0c94-4d80-b877-9752044b73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FABD68-E418-44FF-A807-12D948373861}">
  <ds:schemaRefs>
    <ds:schemaRef ds:uri="urn:fdsformulacache"/>
  </ds:schemaRefs>
</ds:datastoreItem>
</file>

<file path=customXml/itemProps3.xml><?xml version="1.0" encoding="utf-8"?>
<ds:datastoreItem xmlns:ds="http://schemas.openxmlformats.org/officeDocument/2006/customXml" ds:itemID="{531F8EAC-94D5-4440-A65A-3B664A3CC9A8}">
  <ds:schemaRefs>
    <ds:schemaRef ds:uri="http://purl.org/dc/dcmitype/"/>
    <ds:schemaRef ds:uri="5ff52989-e26b-4829-bf17-38710aa9cad6"/>
    <ds:schemaRef ds:uri="http://purl.org/dc/terms/"/>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ce8da139-0c94-4d80-b877-9752044b7374"/>
    <ds:schemaRef ds:uri="http://www.w3.org/XML/1998/namespace"/>
  </ds:schemaRefs>
</ds:datastoreItem>
</file>

<file path=customXml/itemProps4.xml><?xml version="1.0" encoding="utf-8"?>
<ds:datastoreItem xmlns:ds="http://schemas.openxmlformats.org/officeDocument/2006/customXml" ds:itemID="{C27FB050-C117-4C3E-AFC5-C30CE85C51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7</vt:i4>
      </vt:variant>
    </vt:vector>
  </HeadingPairs>
  <TitlesOfParts>
    <vt:vector size="14" baseType="lpstr">
      <vt:lpstr>Indice</vt:lpstr>
      <vt:lpstr>Disclaimer</vt:lpstr>
      <vt:lpstr>Lista de Propiedades</vt:lpstr>
      <vt:lpstr>Distribuciones</vt:lpstr>
      <vt:lpstr>Estado de Resultados</vt:lpstr>
      <vt:lpstr>Balance General</vt:lpstr>
      <vt:lpstr>Flujo de Efectivo</vt:lpstr>
      <vt:lpstr>'Balance General'!Área_de_impresión</vt:lpstr>
      <vt:lpstr>Disclaimer!Área_de_impresión</vt:lpstr>
      <vt:lpstr>Distribuciones!Área_de_impresión</vt:lpstr>
      <vt:lpstr>'Estado de Resultados'!Área_de_impresión</vt:lpstr>
      <vt:lpstr>'Flujo de Efectivo'!Área_de_impresión</vt:lpstr>
      <vt:lpstr>Indice!Área_de_impresión</vt:lpstr>
      <vt:lpstr>'Lista de Propiedades'!Área_de_impresión</vt:lpstr>
    </vt:vector>
  </TitlesOfParts>
  <Company>Citi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Seymour, Mia [BKG-IB]</dc:creator>
  <cp:lastModifiedBy>Uziel David Martínez Aguilera</cp:lastModifiedBy>
  <cp:lastPrinted>2025-03-21T03:44:20Z</cp:lastPrinted>
  <dcterms:created xsi:type="dcterms:W3CDTF">2025-03-11T14:32:25Z</dcterms:created>
  <dcterms:modified xsi:type="dcterms:W3CDTF">2025-05-19T16:36:30Z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{1CFAD556-2697-490C-95E9-20856991D8A7}</vt:lpwstr>
  </property>
  <property fmtid="{D5CDD505-2E9C-101B-9397-08002B2CF9AE}" pid="3" name="MSIP_Label_dd181445-6ec4-4473-9810-00785f082df0_Enabled">
    <vt:lpwstr>true</vt:lpwstr>
  </property>
  <property fmtid="{D5CDD505-2E9C-101B-9397-08002B2CF9AE}" pid="4" name="MSIP_Label_dd181445-6ec4-4473-9810-00785f082df0_SetDate">
    <vt:lpwstr>2025-03-13T18:04:46Z</vt:lpwstr>
  </property>
  <property fmtid="{D5CDD505-2E9C-101B-9397-08002B2CF9AE}" pid="5" name="MSIP_Label_dd181445-6ec4-4473-9810-00785f082df0_Method">
    <vt:lpwstr>Privileged</vt:lpwstr>
  </property>
  <property fmtid="{D5CDD505-2E9C-101B-9397-08002B2CF9AE}" pid="6" name="MSIP_Label_dd181445-6ec4-4473-9810-00785f082df0_Name">
    <vt:lpwstr>Internal</vt:lpwstr>
  </property>
  <property fmtid="{D5CDD505-2E9C-101B-9397-08002B2CF9AE}" pid="7" name="MSIP_Label_dd181445-6ec4-4473-9810-00785f082df0_SiteId">
    <vt:lpwstr>1771ae17-e764-4e0f-a476-d4184d79a5d9</vt:lpwstr>
  </property>
  <property fmtid="{D5CDD505-2E9C-101B-9397-08002B2CF9AE}" pid="8" name="MSIP_Label_dd181445-6ec4-4473-9810-00785f082df0_ActionId">
    <vt:lpwstr>4a1b1b9a-cab6-4a7b-bb4b-2dbc43c1f645</vt:lpwstr>
  </property>
  <property fmtid="{D5CDD505-2E9C-101B-9397-08002B2CF9AE}" pid="9" name="MSIP_Label_dd181445-6ec4-4473-9810-00785f082df0_ContentBits">
    <vt:lpwstr>0</vt:lpwstr>
  </property>
  <property fmtid="{D5CDD505-2E9C-101B-9397-08002B2CF9AE}" pid="10" name="=fdsSearchOrder">
    <vt:i4>0</vt:i4>
  </property>
  <property fmtid="{D5CDD505-2E9C-101B-9397-08002B2CF9AE}" pid="11" name="ContentTypeId">
    <vt:lpwstr>0x010100205DA363BA70974C84ED114C3E005205</vt:lpwstr>
  </property>
  <property fmtid="{D5CDD505-2E9C-101B-9397-08002B2CF9AE}" pid="12" name="MediaServiceImageTags">
    <vt:lpwstr/>
  </property>
</Properties>
</file>